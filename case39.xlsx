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fcanalesverdia_tudelft_nl/Documents/PhD/Thesis Dissertation/Cascading Models/DYCFM/Dynamic-cascading-failure-simulator/"/>
    </mc:Choice>
  </mc:AlternateContent>
  <xr:revisionPtr revIDLastSave="46" documentId="8_{CC457F28-55C8-48D9-8A90-5B14E8B1AF7D}" xr6:coauthVersionLast="47" xr6:coauthVersionMax="47" xr10:uidLastSave="{B879D13F-A085-4DD0-B349-852C0A60F96A}"/>
  <bookViews>
    <workbookView xWindow="-110" yWindow="-110" windowWidth="19420" windowHeight="11500" xr2:uid="{89ED1C6A-8F87-45B3-BF33-D64FBB8727A4}"/>
  </bookViews>
  <sheets>
    <sheet name="Lines" sheetId="1" r:id="rId1"/>
    <sheet name="Trafos" sheetId="2" r:id="rId2"/>
    <sheet name="Loads" sheetId="4" r:id="rId3"/>
    <sheet name="SynchGen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O4" i="1"/>
  <c r="P4" i="1" s="1"/>
  <c r="Q4" i="1" s="1"/>
  <c r="M5" i="1"/>
  <c r="P5" i="1" s="1"/>
  <c r="Q5" i="1" s="1"/>
  <c r="O5" i="1"/>
  <c r="M6" i="1"/>
  <c r="O6" i="1"/>
  <c r="M7" i="1"/>
  <c r="O7" i="1"/>
  <c r="M8" i="1"/>
  <c r="O8" i="1"/>
  <c r="M9" i="1"/>
  <c r="O9" i="1"/>
  <c r="M10" i="1"/>
  <c r="O10" i="1"/>
  <c r="P10" i="1" s="1"/>
  <c r="Q10" i="1" s="1"/>
  <c r="M11" i="1"/>
  <c r="O11" i="1"/>
  <c r="P11" i="1" s="1"/>
  <c r="Q11" i="1" s="1"/>
  <c r="M12" i="1"/>
  <c r="O12" i="1"/>
  <c r="P12" i="1"/>
  <c r="Q12" i="1" s="1"/>
  <c r="M13" i="1"/>
  <c r="O13" i="1"/>
  <c r="M14" i="1"/>
  <c r="O14" i="1"/>
  <c r="M15" i="1"/>
  <c r="P15" i="1" s="1"/>
  <c r="Q15" i="1" s="1"/>
  <c r="O15" i="1"/>
  <c r="M16" i="1"/>
  <c r="O16" i="1"/>
  <c r="M17" i="1"/>
  <c r="O17" i="1"/>
  <c r="M18" i="1"/>
  <c r="O18" i="1"/>
  <c r="M19" i="1"/>
  <c r="O19" i="1"/>
  <c r="P19" i="1"/>
  <c r="Q19" i="1" s="1"/>
  <c r="M20" i="1"/>
  <c r="O20" i="1"/>
  <c r="M21" i="1"/>
  <c r="O21" i="1"/>
  <c r="M22" i="1"/>
  <c r="O22" i="1"/>
  <c r="P22" i="1"/>
  <c r="Q22" i="1" s="1"/>
  <c r="M23" i="1"/>
  <c r="O23" i="1"/>
  <c r="P23" i="1"/>
  <c r="Q23" i="1"/>
  <c r="M24" i="1"/>
  <c r="O24" i="1"/>
  <c r="P24" i="1" s="1"/>
  <c r="Q24" i="1" s="1"/>
  <c r="M25" i="1"/>
  <c r="P25" i="1" s="1"/>
  <c r="Q25" i="1" s="1"/>
  <c r="O25" i="1"/>
  <c r="M26" i="1"/>
  <c r="O26" i="1"/>
  <c r="P26" i="1"/>
  <c r="Q26" i="1"/>
  <c r="M27" i="1"/>
  <c r="O27" i="1"/>
  <c r="M28" i="1"/>
  <c r="O28" i="1"/>
  <c r="M29" i="1"/>
  <c r="O29" i="1"/>
  <c r="P29" i="1" s="1"/>
  <c r="Q29" i="1" s="1"/>
  <c r="M30" i="1"/>
  <c r="O30" i="1"/>
  <c r="P30" i="1" s="1"/>
  <c r="Q30" i="1" s="1"/>
  <c r="M31" i="1"/>
  <c r="O31" i="1"/>
  <c r="P31" i="1" s="1"/>
  <c r="Q31" i="1" s="1"/>
  <c r="M32" i="1"/>
  <c r="O32" i="1"/>
  <c r="M33" i="1"/>
  <c r="O33" i="1"/>
  <c r="P33" i="1" s="1"/>
  <c r="Q33" i="1" s="1"/>
  <c r="M34" i="1"/>
  <c r="O34" i="1"/>
  <c r="M35" i="1"/>
  <c r="P35" i="1" s="1"/>
  <c r="Q35" i="1" s="1"/>
  <c r="O35" i="1"/>
  <c r="M36" i="1"/>
  <c r="O36" i="1"/>
  <c r="P36" i="1"/>
  <c r="Q36" i="1" s="1"/>
  <c r="O3" i="1"/>
  <c r="M3" i="1"/>
  <c r="P9" i="1" l="1"/>
  <c r="Q9" i="1" s="1"/>
  <c r="P14" i="1"/>
  <c r="Q14" i="1" s="1"/>
  <c r="P18" i="1"/>
  <c r="Q18" i="1" s="1"/>
  <c r="P13" i="1"/>
  <c r="Q13" i="1" s="1"/>
  <c r="P32" i="1"/>
  <c r="Q32" i="1" s="1"/>
  <c r="P16" i="1"/>
  <c r="Q16" i="1" s="1"/>
  <c r="P3" i="1"/>
  <c r="Q3" i="1" s="1"/>
  <c r="P34" i="1"/>
  <c r="Q34" i="1" s="1"/>
  <c r="P21" i="1"/>
  <c r="Q21" i="1" s="1"/>
  <c r="P17" i="1"/>
  <c r="Q17" i="1" s="1"/>
  <c r="P27" i="1"/>
  <c r="Q27" i="1" s="1"/>
  <c r="P28" i="1"/>
  <c r="Q28" i="1" s="1"/>
  <c r="P7" i="1"/>
  <c r="Q7" i="1" s="1"/>
  <c r="P6" i="1"/>
  <c r="Q6" i="1" s="1"/>
  <c r="P20" i="1"/>
  <c r="Q20" i="1" s="1"/>
  <c r="P8" i="1"/>
  <c r="Q8" i="1" s="1"/>
</calcChain>
</file>

<file path=xl/sharedStrings.xml><?xml version="1.0" encoding="utf-8"?>
<sst xmlns="http://schemas.openxmlformats.org/spreadsheetml/2006/main" count="156" uniqueCount="121">
  <si>
    <t>Line</t>
  </si>
  <si>
    <t>Out of Sevice</t>
  </si>
  <si>
    <t>Stable int.</t>
  </si>
  <si>
    <t>Output</t>
  </si>
  <si>
    <t>Prot_oc</t>
  </si>
  <si>
    <t>oc_max1</t>
  </si>
  <si>
    <t>T_ocmax1</t>
  </si>
  <si>
    <t>oc_max2</t>
  </si>
  <si>
    <t>T_ocmax2</t>
  </si>
  <si>
    <t>Length</t>
  </si>
  <si>
    <r>
      <rPr>
        <sz val="11"/>
        <color theme="1"/>
        <rFont val="Aptos Narrow"/>
        <family val="2"/>
      </rPr>
      <t>λ</t>
    </r>
    <r>
      <rPr>
        <sz val="11"/>
        <color theme="1"/>
        <rFont val="Aptos Narrow"/>
        <family val="2"/>
        <scheme val="minor"/>
      </rPr>
      <t xml:space="preserve"> [/ctkm*y]</t>
    </r>
  </si>
  <si>
    <r>
      <rPr>
        <sz val="11"/>
        <color theme="1"/>
        <rFont val="Aptos Narrow"/>
        <family val="2"/>
      </rPr>
      <t>λ</t>
    </r>
    <r>
      <rPr>
        <sz val="11"/>
        <color theme="1"/>
        <rFont val="Aptos Narrow"/>
        <family val="2"/>
        <scheme val="minor"/>
      </rPr>
      <t xml:space="preserve"> [/y]</t>
    </r>
  </si>
  <si>
    <t>MTTR [h]</t>
  </si>
  <si>
    <r>
      <rPr>
        <sz val="11"/>
        <color theme="1"/>
        <rFont val="Calibri"/>
        <family val="2"/>
      </rPr>
      <t>μ</t>
    </r>
    <r>
      <rPr>
        <sz val="11"/>
        <color theme="1"/>
        <rFont val="Aptos Narrow"/>
        <family val="2"/>
        <scheme val="minor"/>
      </rPr>
      <t xml:space="preserve"> [/y]</t>
    </r>
  </si>
  <si>
    <t>Availability</t>
  </si>
  <si>
    <t>Unavailability</t>
  </si>
  <si>
    <t>Line 01 - 02</t>
  </si>
  <si>
    <t>Line 01 - 39</t>
  </si>
  <si>
    <t>Line 02 - 03</t>
  </si>
  <si>
    <t>Line 02 - 25</t>
  </si>
  <si>
    <t>Line 03 - 04</t>
  </si>
  <si>
    <t>Line 03 - 18</t>
  </si>
  <si>
    <t>Line 04 - 05</t>
  </si>
  <si>
    <t>Line 04 - 14</t>
  </si>
  <si>
    <t>Line 05 - 06</t>
  </si>
  <si>
    <t>Line 05 - 08</t>
  </si>
  <si>
    <t>Line 06 - 07</t>
  </si>
  <si>
    <t>Line 06 - 11</t>
  </si>
  <si>
    <t>Line 07 - 08</t>
  </si>
  <si>
    <t>Line 08 - 09</t>
  </si>
  <si>
    <t>Line 09 - 39</t>
  </si>
  <si>
    <t>Line 10 - 11</t>
  </si>
  <si>
    <t>Line 10 - 13</t>
  </si>
  <si>
    <t>Line 13 - 14</t>
  </si>
  <si>
    <t>Line 14 - 15</t>
  </si>
  <si>
    <t>Line 15 - 16</t>
  </si>
  <si>
    <t>Line 16 - 17</t>
  </si>
  <si>
    <t>Line 16 - 19</t>
  </si>
  <si>
    <t>Line 16 - 21</t>
  </si>
  <si>
    <t>Line 16 - 24</t>
  </si>
  <si>
    <t>Line 17 - 18</t>
  </si>
  <si>
    <t>Line 17 - 27</t>
  </si>
  <si>
    <t>Line 21 - 22</t>
  </si>
  <si>
    <t>Line 22 - 23</t>
  </si>
  <si>
    <t>Line 23 - 24</t>
  </si>
  <si>
    <t>Line 25 - 26</t>
  </si>
  <si>
    <t>Line 26 - 27</t>
  </si>
  <si>
    <t>Line 26 - 28</t>
  </si>
  <si>
    <t>Line 26 - 29</t>
  </si>
  <si>
    <t>Line 28 - 29</t>
  </si>
  <si>
    <t>Tdelay</t>
  </si>
  <si>
    <t>TX</t>
  </si>
  <si>
    <t>Gen</t>
  </si>
  <si>
    <t>Prot_sat</t>
  </si>
  <si>
    <t>T_fluxmax1</t>
  </si>
  <si>
    <t>T_fluxmax2</t>
  </si>
  <si>
    <t>flux_max1</t>
  </si>
  <si>
    <t>flux_max2</t>
  </si>
  <si>
    <t>Prot_f</t>
  </si>
  <si>
    <t>f_max</t>
  </si>
  <si>
    <t>T_fmax</t>
  </si>
  <si>
    <t>f_min</t>
  </si>
  <si>
    <t>T_fmin</t>
  </si>
  <si>
    <t>u_low</t>
  </si>
  <si>
    <t>T_fblock</t>
  </si>
  <si>
    <t>T_fmeas</t>
  </si>
  <si>
    <t>Prot_rocof</t>
  </si>
  <si>
    <t>df_max</t>
  </si>
  <si>
    <t>df_min</t>
  </si>
  <si>
    <t>T_rocof</t>
  </si>
  <si>
    <t>Load</t>
  </si>
  <si>
    <t>Prot_u</t>
  </si>
  <si>
    <t>u_max1</t>
  </si>
  <si>
    <t>T_umax1</t>
  </si>
  <si>
    <t>u_max2</t>
  </si>
  <si>
    <t>T_umax2</t>
  </si>
  <si>
    <t>u_min1</t>
  </si>
  <si>
    <t>T_umin1</t>
  </si>
  <si>
    <t>u_min2</t>
  </si>
  <si>
    <t>T_umin2</t>
  </si>
  <si>
    <t>Trf 02 - 30</t>
  </si>
  <si>
    <t>Trf 06 - 31</t>
  </si>
  <si>
    <t>Trf 10 - 32</t>
  </si>
  <si>
    <t>Trf 11 - 12</t>
  </si>
  <si>
    <t>Trf 13 - 12</t>
  </si>
  <si>
    <t>Trf 19 - 20</t>
  </si>
  <si>
    <t>Trf 19 - 33</t>
  </si>
  <si>
    <t>Trf 20 - 34</t>
  </si>
  <si>
    <t>Trf 22 - 35</t>
  </si>
  <si>
    <t>Trf 23 - 36</t>
  </si>
  <si>
    <t>Trf 25 - 37</t>
  </si>
  <si>
    <t>Trf 29 - 38</t>
  </si>
  <si>
    <t>G 01</t>
  </si>
  <si>
    <t>G 02</t>
  </si>
  <si>
    <t>G 03</t>
  </si>
  <si>
    <t>G 04</t>
  </si>
  <si>
    <t>G 05</t>
  </si>
  <si>
    <t>G 06</t>
  </si>
  <si>
    <t>G 07</t>
  </si>
  <si>
    <t>G 08</t>
  </si>
  <si>
    <t>G 09</t>
  </si>
  <si>
    <t>G 10</t>
  </si>
  <si>
    <t>Load 03</t>
  </si>
  <si>
    <t>Load 04</t>
  </si>
  <si>
    <t>Load 07</t>
  </si>
  <si>
    <t>Load 08</t>
  </si>
  <si>
    <t>Load 12</t>
  </si>
  <si>
    <t>Load 15</t>
  </si>
  <si>
    <t>Load 16</t>
  </si>
  <si>
    <t>Load 18</t>
  </si>
  <si>
    <t>Load 20</t>
  </si>
  <si>
    <t>Load 21</t>
  </si>
  <si>
    <t>Load 23</t>
  </si>
  <si>
    <t>Load 24</t>
  </si>
  <si>
    <t>Load 25</t>
  </si>
  <si>
    <t>Load 26</t>
  </si>
  <si>
    <t>Load 27</t>
  </si>
  <si>
    <t>Load 28</t>
  </si>
  <si>
    <t>Load 29</t>
  </si>
  <si>
    <t>Load 31</t>
  </si>
  <si>
    <t>Load 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</si>
</sst>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Calibri"/>
      <family val="2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8FB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4" fillId="2" borderId="1" xfId="0" applyFont="1" applyFill="1" applyBorder="1" applyAlignment="1">
      <alignment vertical="top"/>
    </xf>
    <xf numFmtId="0" fontId="4" fillId="3" borderId="1" xfId="0" applyFont="1" applyFill="1" applyBorder="1" applyAlignment="1">
      <alignment vertical="top"/>
    </xf>
    <xf numFmtId="0" fontId="4" fillId="2" borderId="2" xfId="0" applyFont="1" applyFill="1" applyBorder="1" applyAlignment="1">
      <alignment vertical="top"/>
    </xf>
    <xf numFmtId="0" fontId="4" fillId="2" borderId="0" xfId="0" applyFont="1" applyFill="1" applyAlignment="1">
      <alignment vertical="top"/>
    </xf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C6A92-57F3-4769-BC47-A9583E616DBF}">
  <dimension ref="A2:Q36"/>
  <sheetViews>
    <sheetView tabSelected="1" workbookViewId="0">
      <selection activeCell="F3" sqref="F3"/>
    </sheetView>
  </sheetViews>
  <sheetFormatPr defaultRowHeight="14.5" x14ac:dyDescent="0.35"/>
  <sheetData>
    <row r="2" spans="1:17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50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</row>
    <row r="3" spans="1:17" x14ac:dyDescent="0.35">
      <c r="A3" s="1" t="s">
        <v>16</v>
      </c>
      <c r="B3" s="1">
        <v>0</v>
      </c>
      <c r="C3" s="1">
        <v>0</v>
      </c>
      <c r="D3" s="1">
        <v>1</v>
      </c>
      <c r="E3" s="1">
        <v>1</v>
      </c>
      <c r="F3" s="1">
        <v>1.1000000000000001</v>
      </c>
      <c r="G3" s="1">
        <v>600</v>
      </c>
      <c r="H3" s="1">
        <v>1.2</v>
      </c>
      <c r="I3" s="1">
        <v>60</v>
      </c>
      <c r="J3" s="1">
        <v>0.05</v>
      </c>
      <c r="K3" s="1">
        <v>163.0643</v>
      </c>
      <c r="L3" s="3">
        <v>2.2000000000000001E-3</v>
      </c>
      <c r="M3" s="4">
        <f>L3*K3</f>
        <v>0.35874146000000001</v>
      </c>
      <c r="N3" s="4">
        <v>8</v>
      </c>
      <c r="O3">
        <f>8760/N3</f>
        <v>1095</v>
      </c>
      <c r="P3" s="5">
        <f>O3/(M3+O3)</f>
        <v>0.99967248952656207</v>
      </c>
      <c r="Q3" s="5">
        <f>1-P3</f>
        <v>3.2751047343793083E-4</v>
      </c>
    </row>
    <row r="4" spans="1:17" x14ac:dyDescent="0.35">
      <c r="A4" s="2" t="s">
        <v>17</v>
      </c>
      <c r="B4" s="2">
        <v>0</v>
      </c>
      <c r="C4" s="2">
        <v>0</v>
      </c>
      <c r="D4" s="2">
        <v>1</v>
      </c>
      <c r="E4" s="2">
        <v>1</v>
      </c>
      <c r="F4" s="2">
        <v>1.1000000000000001</v>
      </c>
      <c r="G4" s="2">
        <v>600</v>
      </c>
      <c r="H4" s="2">
        <v>1.2</v>
      </c>
      <c r="I4" s="2">
        <v>60</v>
      </c>
      <c r="J4" s="1">
        <v>0.05</v>
      </c>
      <c r="K4" s="2">
        <v>99.1875</v>
      </c>
      <c r="L4" s="3">
        <v>2.2000000000000001E-3</v>
      </c>
      <c r="M4" s="4">
        <f t="shared" ref="M4:M36" si="0">L4*K4</f>
        <v>0.2182125</v>
      </c>
      <c r="N4" s="4">
        <v>8</v>
      </c>
      <c r="O4">
        <f t="shared" ref="O4:O36" si="1">8760/N4</f>
        <v>1095</v>
      </c>
      <c r="P4" s="5">
        <f t="shared" ref="P4:P36" si="2">O4/(M4+O4)</f>
        <v>0.99980075888301578</v>
      </c>
      <c r="Q4" s="5">
        <f t="shared" ref="Q4:Q36" si="3">1-P4</f>
        <v>1.9924111698421676E-4</v>
      </c>
    </row>
    <row r="5" spans="1:17" x14ac:dyDescent="0.35">
      <c r="A5" s="1" t="s">
        <v>18</v>
      </c>
      <c r="B5" s="1">
        <v>0</v>
      </c>
      <c r="C5" s="1">
        <v>0</v>
      </c>
      <c r="D5" s="1">
        <v>1</v>
      </c>
      <c r="E5" s="1">
        <v>1</v>
      </c>
      <c r="F5" s="1">
        <v>1.1000000000000001</v>
      </c>
      <c r="G5" s="1">
        <v>600</v>
      </c>
      <c r="H5" s="1">
        <v>1.2</v>
      </c>
      <c r="I5" s="1">
        <v>60</v>
      </c>
      <c r="J5" s="1">
        <v>0.05</v>
      </c>
      <c r="K5" s="1">
        <v>59.90925</v>
      </c>
      <c r="L5" s="3">
        <v>2.2000000000000001E-3</v>
      </c>
      <c r="M5" s="4">
        <f t="shared" si="0"/>
        <v>0.13180035000000001</v>
      </c>
      <c r="N5" s="4">
        <v>8</v>
      </c>
      <c r="O5">
        <f t="shared" si="1"/>
        <v>1095</v>
      </c>
      <c r="P5" s="5">
        <f t="shared" si="2"/>
        <v>0.9998796488696996</v>
      </c>
      <c r="Q5" s="5">
        <f t="shared" si="3"/>
        <v>1.2035113030040012E-4</v>
      </c>
    </row>
    <row r="6" spans="1:17" x14ac:dyDescent="0.35">
      <c r="A6" s="2" t="s">
        <v>19</v>
      </c>
      <c r="B6" s="2">
        <v>0</v>
      </c>
      <c r="C6" s="2">
        <v>0</v>
      </c>
      <c r="D6" s="2">
        <v>1</v>
      </c>
      <c r="E6" s="2">
        <v>1</v>
      </c>
      <c r="F6" s="2">
        <v>1.1000000000000001</v>
      </c>
      <c r="G6" s="2">
        <v>600</v>
      </c>
      <c r="H6" s="2">
        <v>1.2</v>
      </c>
      <c r="I6" s="2">
        <v>60</v>
      </c>
      <c r="J6" s="1">
        <v>0.05</v>
      </c>
      <c r="K6" s="2">
        <v>34.1205</v>
      </c>
      <c r="L6" s="3">
        <v>2.2000000000000001E-3</v>
      </c>
      <c r="M6" s="4">
        <f t="shared" si="0"/>
        <v>7.506510000000001E-2</v>
      </c>
      <c r="N6" s="4">
        <v>8</v>
      </c>
      <c r="O6">
        <f t="shared" si="1"/>
        <v>1095</v>
      </c>
      <c r="P6" s="5">
        <f t="shared" si="2"/>
        <v>0.99993145209639744</v>
      </c>
      <c r="Q6" s="5">
        <f t="shared" si="3"/>
        <v>6.8547903602556026E-5</v>
      </c>
    </row>
    <row r="7" spans="1:17" x14ac:dyDescent="0.35">
      <c r="A7" s="1" t="s">
        <v>20</v>
      </c>
      <c r="B7" s="1">
        <v>0</v>
      </c>
      <c r="C7" s="1">
        <v>0</v>
      </c>
      <c r="D7" s="1">
        <v>1</v>
      </c>
      <c r="E7" s="1">
        <v>1</v>
      </c>
      <c r="F7" s="1">
        <v>1.1000000000000001</v>
      </c>
      <c r="G7" s="1">
        <v>600</v>
      </c>
      <c r="H7" s="1">
        <v>1.2</v>
      </c>
      <c r="I7" s="1">
        <v>60</v>
      </c>
      <c r="J7" s="1">
        <v>0.05</v>
      </c>
      <c r="K7" s="1">
        <v>84.507750000000001</v>
      </c>
      <c r="L7" s="3">
        <v>2.2000000000000001E-3</v>
      </c>
      <c r="M7" s="4">
        <f t="shared" si="0"/>
        <v>0.18591705000000003</v>
      </c>
      <c r="N7" s="4">
        <v>8</v>
      </c>
      <c r="O7">
        <f t="shared" si="1"/>
        <v>1095</v>
      </c>
      <c r="P7" s="5">
        <f t="shared" si="2"/>
        <v>0.99983024156254607</v>
      </c>
      <c r="Q7" s="5">
        <f t="shared" si="3"/>
        <v>1.6975843745392627E-4</v>
      </c>
    </row>
    <row r="8" spans="1:17" x14ac:dyDescent="0.35">
      <c r="A8" s="2" t="s">
        <v>21</v>
      </c>
      <c r="B8" s="2">
        <v>0</v>
      </c>
      <c r="C8" s="2">
        <v>0</v>
      </c>
      <c r="D8" s="2">
        <v>1</v>
      </c>
      <c r="E8" s="2">
        <v>1</v>
      </c>
      <c r="F8" s="2">
        <v>1.1000000000000001</v>
      </c>
      <c r="G8" s="2">
        <v>600</v>
      </c>
      <c r="H8" s="2">
        <v>1.2</v>
      </c>
      <c r="I8" s="2">
        <v>60</v>
      </c>
      <c r="J8" s="1">
        <v>0.05</v>
      </c>
      <c r="K8" s="2">
        <v>52.767749999999999</v>
      </c>
      <c r="L8" s="3">
        <v>2.2000000000000001E-3</v>
      </c>
      <c r="M8" s="4">
        <f t="shared" si="0"/>
        <v>0.11608905</v>
      </c>
      <c r="N8" s="4">
        <v>8</v>
      </c>
      <c r="O8">
        <f t="shared" si="1"/>
        <v>1095</v>
      </c>
      <c r="P8" s="5">
        <f t="shared" si="2"/>
        <v>0.99989399384123678</v>
      </c>
      <c r="Q8" s="5">
        <f t="shared" si="3"/>
        <v>1.0600615876321662E-4</v>
      </c>
    </row>
    <row r="9" spans="1:17" x14ac:dyDescent="0.35">
      <c r="A9" s="1" t="s">
        <v>22</v>
      </c>
      <c r="B9" s="1">
        <v>0</v>
      </c>
      <c r="C9" s="1">
        <v>0</v>
      </c>
      <c r="D9" s="1">
        <v>1</v>
      </c>
      <c r="E9" s="1">
        <v>1</v>
      </c>
      <c r="F9" s="1">
        <v>1.1000000000000001</v>
      </c>
      <c r="G9" s="1">
        <v>600</v>
      </c>
      <c r="H9" s="1">
        <v>1.2</v>
      </c>
      <c r="I9" s="1">
        <v>60</v>
      </c>
      <c r="J9" s="1">
        <v>0.05</v>
      </c>
      <c r="K9" s="1">
        <v>50.783999999999999</v>
      </c>
      <c r="L9" s="3">
        <v>2.2000000000000001E-3</v>
      </c>
      <c r="M9" s="4">
        <f t="shared" si="0"/>
        <v>0.1117248</v>
      </c>
      <c r="N9" s="4">
        <v>8</v>
      </c>
      <c r="O9">
        <f t="shared" si="1"/>
        <v>1095</v>
      </c>
      <c r="P9" s="5">
        <f t="shared" si="2"/>
        <v>0.99989797862860019</v>
      </c>
      <c r="Q9" s="5">
        <f t="shared" si="3"/>
        <v>1.0202137139980749E-4</v>
      </c>
    </row>
    <row r="10" spans="1:17" x14ac:dyDescent="0.35">
      <c r="A10" s="2" t="s">
        <v>23</v>
      </c>
      <c r="B10" s="2">
        <v>0</v>
      </c>
      <c r="C10" s="2">
        <v>0</v>
      </c>
      <c r="D10" s="2">
        <v>1</v>
      </c>
      <c r="E10" s="2">
        <v>1</v>
      </c>
      <c r="F10" s="2">
        <v>1.1000000000000001</v>
      </c>
      <c r="G10" s="2">
        <v>600</v>
      </c>
      <c r="H10" s="2">
        <v>1.2</v>
      </c>
      <c r="I10" s="2">
        <v>60</v>
      </c>
      <c r="J10" s="1">
        <v>0.05</v>
      </c>
      <c r="K10" s="2">
        <v>51.180750000000003</v>
      </c>
      <c r="L10" s="3">
        <v>2.2000000000000001E-3</v>
      </c>
      <c r="M10" s="4">
        <f t="shared" si="0"/>
        <v>0.11259765000000001</v>
      </c>
      <c r="N10" s="4">
        <v>8</v>
      </c>
      <c r="O10">
        <f t="shared" si="1"/>
        <v>1095</v>
      </c>
      <c r="P10" s="5">
        <f t="shared" si="2"/>
        <v>0.99989718166858677</v>
      </c>
      <c r="Q10" s="5">
        <f t="shared" si="3"/>
        <v>1.0281833141323471E-4</v>
      </c>
    </row>
    <row r="11" spans="1:17" x14ac:dyDescent="0.35">
      <c r="A11" s="1" t="s">
        <v>24</v>
      </c>
      <c r="B11" s="1">
        <v>0</v>
      </c>
      <c r="C11" s="1">
        <v>0</v>
      </c>
      <c r="D11" s="1">
        <v>1</v>
      </c>
      <c r="E11" s="1">
        <v>1</v>
      </c>
      <c r="F11" s="1">
        <v>1.1000000000000001</v>
      </c>
      <c r="G11" s="1">
        <v>600</v>
      </c>
      <c r="H11" s="1">
        <v>1.2</v>
      </c>
      <c r="I11" s="1">
        <v>60</v>
      </c>
      <c r="J11" s="1">
        <v>0.05</v>
      </c>
      <c r="K11" s="1">
        <v>10.3155</v>
      </c>
      <c r="L11" s="3">
        <v>2.2000000000000001E-3</v>
      </c>
      <c r="M11" s="4">
        <f t="shared" si="0"/>
        <v>2.2694100000000002E-2</v>
      </c>
      <c r="N11" s="4">
        <v>8</v>
      </c>
      <c r="O11">
        <f t="shared" si="1"/>
        <v>1095</v>
      </c>
      <c r="P11" s="5">
        <f t="shared" si="2"/>
        <v>0.99997927522404573</v>
      </c>
      <c r="Q11" s="5">
        <f t="shared" si="3"/>
        <v>2.0724775954272801E-5</v>
      </c>
    </row>
    <row r="12" spans="1:17" x14ac:dyDescent="0.35">
      <c r="A12" s="2" t="s">
        <v>25</v>
      </c>
      <c r="B12" s="2">
        <v>0</v>
      </c>
      <c r="C12" s="2">
        <v>0</v>
      </c>
      <c r="D12" s="2">
        <v>1</v>
      </c>
      <c r="E12" s="2">
        <v>1</v>
      </c>
      <c r="F12" s="2">
        <v>1.1000000000000001</v>
      </c>
      <c r="G12" s="2">
        <v>600</v>
      </c>
      <c r="H12" s="2">
        <v>1.2</v>
      </c>
      <c r="I12" s="2">
        <v>60</v>
      </c>
      <c r="J12" s="1">
        <v>0.05</v>
      </c>
      <c r="K12" s="2">
        <v>44.436</v>
      </c>
      <c r="L12" s="3">
        <v>2.2000000000000001E-3</v>
      </c>
      <c r="M12" s="4">
        <f t="shared" si="0"/>
        <v>9.7759200000000004E-2</v>
      </c>
      <c r="N12" s="4">
        <v>8</v>
      </c>
      <c r="O12">
        <f t="shared" si="1"/>
        <v>1095</v>
      </c>
      <c r="P12" s="5">
        <f t="shared" si="2"/>
        <v>0.99991073016159637</v>
      </c>
      <c r="Q12" s="5">
        <f t="shared" si="3"/>
        <v>8.9269838403627233E-5</v>
      </c>
    </row>
    <row r="13" spans="1:17" x14ac:dyDescent="0.35">
      <c r="A13" s="1" t="s">
        <v>26</v>
      </c>
      <c r="B13" s="1">
        <v>0</v>
      </c>
      <c r="C13" s="1">
        <v>0</v>
      </c>
      <c r="D13" s="1">
        <v>1</v>
      </c>
      <c r="E13" s="1">
        <v>1</v>
      </c>
      <c r="F13" s="1">
        <v>1.1000000000000001</v>
      </c>
      <c r="G13" s="1">
        <v>600</v>
      </c>
      <c r="H13" s="1">
        <v>1.2</v>
      </c>
      <c r="I13" s="1">
        <v>60</v>
      </c>
      <c r="J13" s="1">
        <v>0.05</v>
      </c>
      <c r="K13" s="1">
        <v>36.500999999999998</v>
      </c>
      <c r="L13" s="3">
        <v>2.2000000000000001E-3</v>
      </c>
      <c r="M13" s="4">
        <f t="shared" si="0"/>
        <v>8.0302200000000004E-2</v>
      </c>
      <c r="N13" s="4">
        <v>8</v>
      </c>
      <c r="O13">
        <f t="shared" si="1"/>
        <v>1095</v>
      </c>
      <c r="P13" s="5">
        <f t="shared" si="2"/>
        <v>0.99992667003521229</v>
      </c>
      <c r="Q13" s="5">
        <f t="shared" si="3"/>
        <v>7.3329964787705038E-5</v>
      </c>
    </row>
    <row r="14" spans="1:17" x14ac:dyDescent="0.35">
      <c r="A14" s="2" t="s">
        <v>27</v>
      </c>
      <c r="B14" s="2">
        <v>0</v>
      </c>
      <c r="C14" s="2">
        <v>0</v>
      </c>
      <c r="D14" s="2">
        <v>1</v>
      </c>
      <c r="E14" s="2">
        <v>1</v>
      </c>
      <c r="F14" s="2">
        <v>1.1000000000000001</v>
      </c>
      <c r="G14" s="2">
        <v>600</v>
      </c>
      <c r="H14" s="2">
        <v>1.2</v>
      </c>
      <c r="I14" s="2">
        <v>60</v>
      </c>
      <c r="J14" s="1">
        <v>0.05</v>
      </c>
      <c r="K14" s="2">
        <v>32.533499999999997</v>
      </c>
      <c r="L14" s="3">
        <v>2.2000000000000001E-3</v>
      </c>
      <c r="M14" s="4">
        <f t="shared" si="0"/>
        <v>7.157369999999999E-2</v>
      </c>
      <c r="N14" s="4">
        <v>8</v>
      </c>
      <c r="O14">
        <f t="shared" si="1"/>
        <v>1095</v>
      </c>
      <c r="P14" s="5">
        <f t="shared" si="2"/>
        <v>0.99993464016259848</v>
      </c>
      <c r="Q14" s="5">
        <f t="shared" si="3"/>
        <v>6.5359837401524068E-5</v>
      </c>
    </row>
    <row r="15" spans="1:17" x14ac:dyDescent="0.35">
      <c r="A15" s="1" t="s">
        <v>28</v>
      </c>
      <c r="B15" s="1">
        <v>0</v>
      </c>
      <c r="C15" s="1">
        <v>0</v>
      </c>
      <c r="D15" s="1">
        <v>1</v>
      </c>
      <c r="E15" s="1">
        <v>1</v>
      </c>
      <c r="F15" s="1">
        <v>1.1000000000000001</v>
      </c>
      <c r="G15" s="1">
        <v>600</v>
      </c>
      <c r="H15" s="1">
        <v>1.2</v>
      </c>
      <c r="I15" s="1">
        <v>60</v>
      </c>
      <c r="J15" s="1">
        <v>0.05</v>
      </c>
      <c r="K15" s="1">
        <v>18.250499999999999</v>
      </c>
      <c r="L15" s="3">
        <v>2.2000000000000001E-3</v>
      </c>
      <c r="M15" s="4">
        <f t="shared" si="0"/>
        <v>4.0151100000000002E-2</v>
      </c>
      <c r="N15" s="4">
        <v>8</v>
      </c>
      <c r="O15">
        <f t="shared" si="1"/>
        <v>1095</v>
      </c>
      <c r="P15" s="5">
        <f t="shared" si="2"/>
        <v>0.99996333367323598</v>
      </c>
      <c r="Q15" s="5">
        <f t="shared" si="3"/>
        <v>3.666632676402326E-5</v>
      </c>
    </row>
    <row r="16" spans="1:17" x14ac:dyDescent="0.35">
      <c r="A16" s="2" t="s">
        <v>29</v>
      </c>
      <c r="B16" s="2">
        <v>0</v>
      </c>
      <c r="C16" s="2">
        <v>0</v>
      </c>
      <c r="D16" s="2">
        <v>1</v>
      </c>
      <c r="E16" s="2">
        <v>1</v>
      </c>
      <c r="F16" s="2">
        <v>1.1000000000000001</v>
      </c>
      <c r="G16" s="2">
        <v>600</v>
      </c>
      <c r="H16" s="2">
        <v>1.2</v>
      </c>
      <c r="I16" s="2">
        <v>60</v>
      </c>
      <c r="J16" s="1">
        <v>0.05</v>
      </c>
      <c r="K16" s="2">
        <v>144.02019999999999</v>
      </c>
      <c r="L16" s="3">
        <v>2.2000000000000001E-3</v>
      </c>
      <c r="M16" s="4">
        <f t="shared" si="0"/>
        <v>0.31684444</v>
      </c>
      <c r="N16" s="4">
        <v>8</v>
      </c>
      <c r="O16">
        <f t="shared" si="1"/>
        <v>1095</v>
      </c>
      <c r="P16" s="5">
        <f t="shared" si="2"/>
        <v>0.999710728049506</v>
      </c>
      <c r="Q16" s="5">
        <f t="shared" si="3"/>
        <v>2.8927195049399668E-4</v>
      </c>
    </row>
    <row r="17" spans="1:17" x14ac:dyDescent="0.35">
      <c r="A17" s="1" t="s">
        <v>30</v>
      </c>
      <c r="B17" s="1">
        <v>0</v>
      </c>
      <c r="C17" s="1">
        <v>0</v>
      </c>
      <c r="D17" s="1">
        <v>1</v>
      </c>
      <c r="E17" s="1">
        <v>1</v>
      </c>
      <c r="F17" s="1">
        <v>1.1000000000000001</v>
      </c>
      <c r="G17" s="1">
        <v>600</v>
      </c>
      <c r="H17" s="1">
        <v>1.2</v>
      </c>
      <c r="I17" s="1">
        <v>60</v>
      </c>
      <c r="J17" s="1">
        <v>0.05</v>
      </c>
      <c r="K17" s="1">
        <v>99.1875</v>
      </c>
      <c r="L17" s="3">
        <v>2.2000000000000001E-3</v>
      </c>
      <c r="M17" s="4">
        <f t="shared" si="0"/>
        <v>0.2182125</v>
      </c>
      <c r="N17" s="4">
        <v>8</v>
      </c>
      <c r="O17">
        <f t="shared" si="1"/>
        <v>1095</v>
      </c>
      <c r="P17" s="5">
        <f t="shared" si="2"/>
        <v>0.99980075888301578</v>
      </c>
      <c r="Q17" s="5">
        <f t="shared" si="3"/>
        <v>1.9924111698421676E-4</v>
      </c>
    </row>
    <row r="18" spans="1:17" x14ac:dyDescent="0.35">
      <c r="A18" s="2" t="s">
        <v>31</v>
      </c>
      <c r="B18" s="2">
        <v>0</v>
      </c>
      <c r="C18" s="2">
        <v>0</v>
      </c>
      <c r="D18" s="2">
        <v>1</v>
      </c>
      <c r="E18" s="2">
        <v>1</v>
      </c>
      <c r="F18" s="2">
        <v>1.1000000000000001</v>
      </c>
      <c r="G18" s="2">
        <v>600</v>
      </c>
      <c r="H18" s="2">
        <v>1.2</v>
      </c>
      <c r="I18" s="2">
        <v>60</v>
      </c>
      <c r="J18" s="1">
        <v>0.05</v>
      </c>
      <c r="K18" s="2">
        <v>17.06025</v>
      </c>
      <c r="L18" s="3">
        <v>2.2000000000000001E-3</v>
      </c>
      <c r="M18" s="4">
        <f t="shared" si="0"/>
        <v>3.7532550000000005E-2</v>
      </c>
      <c r="N18" s="4">
        <v>8</v>
      </c>
      <c r="O18">
        <f t="shared" si="1"/>
        <v>1095</v>
      </c>
      <c r="P18" s="5">
        <f t="shared" si="2"/>
        <v>0.99996572487345481</v>
      </c>
      <c r="Q18" s="5">
        <f t="shared" si="3"/>
        <v>3.427512654519127E-5</v>
      </c>
    </row>
    <row r="19" spans="1:17" x14ac:dyDescent="0.35">
      <c r="A19" s="1" t="s">
        <v>32</v>
      </c>
      <c r="B19" s="1">
        <v>0</v>
      </c>
      <c r="C19" s="1">
        <v>0</v>
      </c>
      <c r="D19" s="1">
        <v>1</v>
      </c>
      <c r="E19" s="1">
        <v>1</v>
      </c>
      <c r="F19" s="1">
        <v>1.1000000000000001</v>
      </c>
      <c r="G19" s="1">
        <v>600</v>
      </c>
      <c r="H19" s="1">
        <v>1.2</v>
      </c>
      <c r="I19" s="1">
        <v>60</v>
      </c>
      <c r="J19" s="1">
        <v>0.05</v>
      </c>
      <c r="K19" s="1">
        <v>17.06025</v>
      </c>
      <c r="L19" s="3">
        <v>2.2000000000000001E-3</v>
      </c>
      <c r="M19" s="4">
        <f t="shared" si="0"/>
        <v>3.7532550000000005E-2</v>
      </c>
      <c r="N19" s="4">
        <v>8</v>
      </c>
      <c r="O19">
        <f t="shared" si="1"/>
        <v>1095</v>
      </c>
      <c r="P19" s="5">
        <f t="shared" si="2"/>
        <v>0.99996572487345481</v>
      </c>
      <c r="Q19" s="5">
        <f t="shared" si="3"/>
        <v>3.427512654519127E-5</v>
      </c>
    </row>
    <row r="20" spans="1:17" x14ac:dyDescent="0.35">
      <c r="A20" s="2" t="s">
        <v>33</v>
      </c>
      <c r="B20" s="2">
        <v>0</v>
      </c>
      <c r="C20" s="2">
        <v>0</v>
      </c>
      <c r="D20" s="2">
        <v>1</v>
      </c>
      <c r="E20" s="2">
        <v>1</v>
      </c>
      <c r="F20" s="2">
        <v>1.1000000000000001</v>
      </c>
      <c r="G20" s="2">
        <v>600</v>
      </c>
      <c r="H20" s="2">
        <v>1.2</v>
      </c>
      <c r="I20" s="2">
        <v>60</v>
      </c>
      <c r="J20" s="1">
        <v>0.05</v>
      </c>
      <c r="K20" s="2">
        <v>40.071750000000002</v>
      </c>
      <c r="L20" s="3">
        <v>2.2000000000000001E-3</v>
      </c>
      <c r="M20" s="4">
        <f t="shared" si="0"/>
        <v>8.815785000000001E-2</v>
      </c>
      <c r="N20" s="4">
        <v>8</v>
      </c>
      <c r="O20">
        <f t="shared" si="1"/>
        <v>1095</v>
      </c>
      <c r="P20" s="5">
        <f t="shared" si="2"/>
        <v>0.99991949702919525</v>
      </c>
      <c r="Q20" s="5">
        <f t="shared" si="3"/>
        <v>8.0502970804752216E-5</v>
      </c>
    </row>
    <row r="21" spans="1:17" x14ac:dyDescent="0.35">
      <c r="A21" s="1" t="s">
        <v>34</v>
      </c>
      <c r="B21" s="1">
        <v>0</v>
      </c>
      <c r="C21" s="1">
        <v>0</v>
      </c>
      <c r="D21" s="1">
        <v>1</v>
      </c>
      <c r="E21" s="1">
        <v>1</v>
      </c>
      <c r="F21" s="1">
        <v>1.1000000000000001</v>
      </c>
      <c r="G21" s="1">
        <v>600</v>
      </c>
      <c r="H21" s="1">
        <v>1.2</v>
      </c>
      <c r="I21" s="1">
        <v>60</v>
      </c>
      <c r="J21" s="1">
        <v>0.05</v>
      </c>
      <c r="K21" s="1">
        <v>86.094750000000005</v>
      </c>
      <c r="L21" s="3">
        <v>2.2000000000000001E-3</v>
      </c>
      <c r="M21" s="4">
        <f t="shared" si="0"/>
        <v>0.18940845000000003</v>
      </c>
      <c r="N21" s="4">
        <v>8</v>
      </c>
      <c r="O21">
        <f t="shared" si="1"/>
        <v>1095</v>
      </c>
      <c r="P21" s="5">
        <f t="shared" si="2"/>
        <v>0.99982705416201201</v>
      </c>
      <c r="Q21" s="5">
        <f t="shared" si="3"/>
        <v>1.7294583798799223E-4</v>
      </c>
    </row>
    <row r="22" spans="1:17" x14ac:dyDescent="0.35">
      <c r="A22" s="2" t="s">
        <v>35</v>
      </c>
      <c r="B22" s="2">
        <v>0</v>
      </c>
      <c r="C22" s="2">
        <v>0</v>
      </c>
      <c r="D22" s="2">
        <v>1</v>
      </c>
      <c r="E22" s="2">
        <v>1</v>
      </c>
      <c r="F22" s="2">
        <v>1.1000000000000001</v>
      </c>
      <c r="G22" s="2">
        <v>600</v>
      </c>
      <c r="H22" s="2">
        <v>1.2</v>
      </c>
      <c r="I22" s="2">
        <v>60</v>
      </c>
      <c r="J22" s="1">
        <v>0.05</v>
      </c>
      <c r="K22" s="2">
        <v>37.294499999999999</v>
      </c>
      <c r="L22" s="3">
        <v>2.2000000000000001E-3</v>
      </c>
      <c r="M22" s="4">
        <f t="shared" si="0"/>
        <v>8.2047900000000007E-2</v>
      </c>
      <c r="N22" s="4">
        <v>8</v>
      </c>
      <c r="O22">
        <f t="shared" si="1"/>
        <v>1095</v>
      </c>
      <c r="P22" s="5">
        <f t="shared" si="2"/>
        <v>0.9999250760249816</v>
      </c>
      <c r="Q22" s="5">
        <f t="shared" si="3"/>
        <v>7.4923975018403866E-5</v>
      </c>
    </row>
    <row r="23" spans="1:17" x14ac:dyDescent="0.35">
      <c r="A23" s="1" t="s">
        <v>36</v>
      </c>
      <c r="B23" s="1">
        <v>0</v>
      </c>
      <c r="C23" s="1">
        <v>0</v>
      </c>
      <c r="D23" s="1">
        <v>1</v>
      </c>
      <c r="E23" s="1">
        <v>1</v>
      </c>
      <c r="F23" s="1">
        <v>1.1000000000000001</v>
      </c>
      <c r="G23" s="1">
        <v>600</v>
      </c>
      <c r="H23" s="1">
        <v>1.2</v>
      </c>
      <c r="I23" s="1">
        <v>60</v>
      </c>
      <c r="J23" s="1">
        <v>0.05</v>
      </c>
      <c r="K23" s="1">
        <v>35.310749999999999</v>
      </c>
      <c r="L23" s="3">
        <v>2.2000000000000001E-3</v>
      </c>
      <c r="M23" s="4">
        <f t="shared" si="0"/>
        <v>7.7683650000000007E-2</v>
      </c>
      <c r="N23" s="4">
        <v>8</v>
      </c>
      <c r="O23">
        <f t="shared" si="1"/>
        <v>1095</v>
      </c>
      <c r="P23" s="5">
        <f t="shared" si="2"/>
        <v>0.9999290610600875</v>
      </c>
      <c r="Q23" s="5">
        <f t="shared" si="3"/>
        <v>7.0938939912501553E-5</v>
      </c>
    </row>
    <row r="24" spans="1:17" x14ac:dyDescent="0.35">
      <c r="A24" s="2" t="s">
        <v>37</v>
      </c>
      <c r="B24" s="2">
        <v>0</v>
      </c>
      <c r="C24" s="2">
        <v>0</v>
      </c>
      <c r="D24" s="2">
        <v>1</v>
      </c>
      <c r="E24" s="2">
        <v>1</v>
      </c>
      <c r="F24" s="2">
        <v>1.1000000000000001</v>
      </c>
      <c r="G24" s="2">
        <v>600</v>
      </c>
      <c r="H24" s="2">
        <v>1.2</v>
      </c>
      <c r="I24" s="2">
        <v>60</v>
      </c>
      <c r="J24" s="1">
        <v>0.05</v>
      </c>
      <c r="K24" s="2">
        <v>77.366249999999994</v>
      </c>
      <c r="L24" s="3">
        <v>2.2000000000000001E-3</v>
      </c>
      <c r="M24" s="4">
        <f t="shared" si="0"/>
        <v>0.17020574999999999</v>
      </c>
      <c r="N24" s="4">
        <v>8</v>
      </c>
      <c r="O24">
        <f t="shared" si="1"/>
        <v>1095</v>
      </c>
      <c r="P24" s="5">
        <f t="shared" si="2"/>
        <v>0.9998445851164447</v>
      </c>
      <c r="Q24" s="5">
        <f t="shared" si="3"/>
        <v>1.5541488355530486E-4</v>
      </c>
    </row>
    <row r="25" spans="1:17" x14ac:dyDescent="0.35">
      <c r="A25" s="1" t="s">
        <v>38</v>
      </c>
      <c r="B25" s="1">
        <v>0</v>
      </c>
      <c r="C25" s="1">
        <v>0</v>
      </c>
      <c r="D25" s="1">
        <v>1</v>
      </c>
      <c r="E25" s="1">
        <v>1</v>
      </c>
      <c r="F25" s="1">
        <v>1.1000000000000001</v>
      </c>
      <c r="G25" s="1">
        <v>600</v>
      </c>
      <c r="H25" s="1">
        <v>1.2</v>
      </c>
      <c r="I25" s="1">
        <v>60</v>
      </c>
      <c r="J25" s="1">
        <v>0.05</v>
      </c>
      <c r="K25" s="1">
        <v>53.561250000000001</v>
      </c>
      <c r="L25" s="3">
        <v>2.2000000000000001E-3</v>
      </c>
      <c r="M25" s="4">
        <f t="shared" si="0"/>
        <v>0.11783475000000002</v>
      </c>
      <c r="N25" s="4">
        <v>8</v>
      </c>
      <c r="O25">
        <f t="shared" si="1"/>
        <v>1095</v>
      </c>
      <c r="P25" s="5">
        <f t="shared" si="2"/>
        <v>0.99989239993518431</v>
      </c>
      <c r="Q25" s="5">
        <f t="shared" si="3"/>
        <v>1.0760006481569384E-4</v>
      </c>
    </row>
    <row r="26" spans="1:17" x14ac:dyDescent="0.35">
      <c r="A26" s="2" t="s">
        <v>39</v>
      </c>
      <c r="B26" s="2">
        <v>0</v>
      </c>
      <c r="C26" s="2">
        <v>0</v>
      </c>
      <c r="D26" s="2">
        <v>1</v>
      </c>
      <c r="E26" s="2">
        <v>1</v>
      </c>
      <c r="F26" s="2">
        <v>1.1000000000000001</v>
      </c>
      <c r="G26" s="2">
        <v>600</v>
      </c>
      <c r="H26" s="2">
        <v>1.2</v>
      </c>
      <c r="I26" s="2">
        <v>60</v>
      </c>
      <c r="J26" s="1">
        <v>0.05</v>
      </c>
      <c r="K26" s="2">
        <v>23.408249999999999</v>
      </c>
      <c r="L26" s="3">
        <v>2.2000000000000001E-3</v>
      </c>
      <c r="M26" s="4">
        <f t="shared" si="0"/>
        <v>5.1498149999999999E-2</v>
      </c>
      <c r="N26" s="4">
        <v>8</v>
      </c>
      <c r="O26">
        <f t="shared" si="1"/>
        <v>1095</v>
      </c>
      <c r="P26" s="5">
        <f t="shared" si="2"/>
        <v>0.99995297193777</v>
      </c>
      <c r="Q26" s="5">
        <f t="shared" si="3"/>
        <v>4.7028062230003442E-5</v>
      </c>
    </row>
    <row r="27" spans="1:17" x14ac:dyDescent="0.35">
      <c r="A27" s="1" t="s">
        <v>40</v>
      </c>
      <c r="B27" s="1">
        <v>0</v>
      </c>
      <c r="C27" s="1">
        <v>0</v>
      </c>
      <c r="D27" s="1">
        <v>1</v>
      </c>
      <c r="E27" s="1">
        <v>1</v>
      </c>
      <c r="F27" s="1">
        <v>1.1000000000000001</v>
      </c>
      <c r="G27" s="1">
        <v>600</v>
      </c>
      <c r="H27" s="1">
        <v>1.2</v>
      </c>
      <c r="I27" s="1">
        <v>60</v>
      </c>
      <c r="J27" s="1">
        <v>0.05</v>
      </c>
      <c r="K27" s="1">
        <v>32.533499999999997</v>
      </c>
      <c r="L27" s="3">
        <v>2.2000000000000001E-3</v>
      </c>
      <c r="M27" s="4">
        <f t="shared" si="0"/>
        <v>7.157369999999999E-2</v>
      </c>
      <c r="N27" s="4">
        <v>8</v>
      </c>
      <c r="O27">
        <f t="shared" si="1"/>
        <v>1095</v>
      </c>
      <c r="P27" s="5">
        <f t="shared" si="2"/>
        <v>0.99993464016259848</v>
      </c>
      <c r="Q27" s="5">
        <f t="shared" si="3"/>
        <v>6.5359837401524068E-5</v>
      </c>
    </row>
    <row r="28" spans="1:17" x14ac:dyDescent="0.35">
      <c r="A28" s="2" t="s">
        <v>41</v>
      </c>
      <c r="B28" s="2">
        <v>0</v>
      </c>
      <c r="C28" s="2">
        <v>0</v>
      </c>
      <c r="D28" s="2">
        <v>1</v>
      </c>
      <c r="E28" s="2">
        <v>1</v>
      </c>
      <c r="F28" s="2">
        <v>1.1000000000000001</v>
      </c>
      <c r="G28" s="2">
        <v>600</v>
      </c>
      <c r="H28" s="2">
        <v>1.2</v>
      </c>
      <c r="I28" s="2">
        <v>60</v>
      </c>
      <c r="J28" s="1">
        <v>0.05</v>
      </c>
      <c r="K28" s="2">
        <v>68.637749999999997</v>
      </c>
      <c r="L28" s="3">
        <v>2.2000000000000001E-3</v>
      </c>
      <c r="M28" s="4">
        <f t="shared" si="0"/>
        <v>0.15100305</v>
      </c>
      <c r="N28" s="4">
        <v>8</v>
      </c>
      <c r="O28">
        <f t="shared" si="1"/>
        <v>1095</v>
      </c>
      <c r="P28" s="5">
        <f t="shared" si="2"/>
        <v>0.99986211668566294</v>
      </c>
      <c r="Q28" s="5">
        <f t="shared" si="3"/>
        <v>1.3788331433706169E-4</v>
      </c>
    </row>
    <row r="29" spans="1:17" x14ac:dyDescent="0.35">
      <c r="A29" s="1" t="s">
        <v>42</v>
      </c>
      <c r="B29" s="1">
        <v>0</v>
      </c>
      <c r="C29" s="1">
        <v>0</v>
      </c>
      <c r="D29" s="1">
        <v>1</v>
      </c>
      <c r="E29" s="1">
        <v>1</v>
      </c>
      <c r="F29" s="1">
        <v>1.1000000000000001</v>
      </c>
      <c r="G29" s="1">
        <v>600</v>
      </c>
      <c r="H29" s="1">
        <v>1.2</v>
      </c>
      <c r="I29" s="1">
        <v>60</v>
      </c>
      <c r="J29" s="1">
        <v>0.05</v>
      </c>
      <c r="K29" s="1">
        <v>55.545000000000002</v>
      </c>
      <c r="L29" s="3">
        <v>2.2000000000000001E-3</v>
      </c>
      <c r="M29" s="4">
        <f t="shared" si="0"/>
        <v>0.12219900000000002</v>
      </c>
      <c r="N29" s="4">
        <v>8</v>
      </c>
      <c r="O29">
        <f t="shared" si="1"/>
        <v>1095</v>
      </c>
      <c r="P29" s="5">
        <f t="shared" si="2"/>
        <v>0.99988841519228489</v>
      </c>
      <c r="Q29" s="5">
        <f t="shared" si="3"/>
        <v>1.1158480771511492E-4</v>
      </c>
    </row>
    <row r="30" spans="1:17" x14ac:dyDescent="0.35">
      <c r="A30" s="2" t="s">
        <v>43</v>
      </c>
      <c r="B30" s="2">
        <v>0</v>
      </c>
      <c r="C30" s="2">
        <v>0</v>
      </c>
      <c r="D30" s="2">
        <v>1</v>
      </c>
      <c r="E30" s="2">
        <v>1</v>
      </c>
      <c r="F30" s="2">
        <v>1.1000000000000001</v>
      </c>
      <c r="G30" s="2">
        <v>600</v>
      </c>
      <c r="H30" s="2">
        <v>1.2</v>
      </c>
      <c r="I30" s="2">
        <v>60</v>
      </c>
      <c r="J30" s="1">
        <v>0.05</v>
      </c>
      <c r="K30" s="2">
        <v>38.088000000000001</v>
      </c>
      <c r="L30" s="3">
        <v>2.2000000000000001E-3</v>
      </c>
      <c r="M30" s="4">
        <f t="shared" si="0"/>
        <v>8.379360000000001E-2</v>
      </c>
      <c r="N30" s="4">
        <v>8</v>
      </c>
      <c r="O30">
        <f t="shared" si="1"/>
        <v>1095</v>
      </c>
      <c r="P30" s="5">
        <f t="shared" si="2"/>
        <v>0.99992348201983283</v>
      </c>
      <c r="Q30" s="5">
        <f t="shared" si="3"/>
        <v>7.6517980167167821E-5</v>
      </c>
    </row>
    <row r="31" spans="1:17" x14ac:dyDescent="0.35">
      <c r="A31" s="1" t="s">
        <v>44</v>
      </c>
      <c r="B31" s="1">
        <v>0</v>
      </c>
      <c r="C31" s="1">
        <v>0</v>
      </c>
      <c r="D31" s="1">
        <v>1</v>
      </c>
      <c r="E31" s="1">
        <v>1</v>
      </c>
      <c r="F31" s="1">
        <v>1.1000000000000001</v>
      </c>
      <c r="G31" s="1">
        <v>600</v>
      </c>
      <c r="H31" s="1">
        <v>1.2</v>
      </c>
      <c r="I31" s="1">
        <v>60</v>
      </c>
      <c r="J31" s="1">
        <v>0.05</v>
      </c>
      <c r="K31" s="1">
        <v>138.86250000000001</v>
      </c>
      <c r="L31" s="3">
        <v>2.2000000000000001E-3</v>
      </c>
      <c r="M31" s="4">
        <f t="shared" si="0"/>
        <v>0.30549750000000003</v>
      </c>
      <c r="N31" s="4">
        <v>8</v>
      </c>
      <c r="O31">
        <f t="shared" si="1"/>
        <v>1095</v>
      </c>
      <c r="P31" s="5">
        <f t="shared" si="2"/>
        <v>0.99972108466478327</v>
      </c>
      <c r="Q31" s="5">
        <f t="shared" si="3"/>
        <v>2.7891533521673395E-4</v>
      </c>
    </row>
    <row r="32" spans="1:17" x14ac:dyDescent="0.35">
      <c r="A32" s="2" t="s">
        <v>45</v>
      </c>
      <c r="B32" s="2">
        <v>0</v>
      </c>
      <c r="C32" s="2">
        <v>0</v>
      </c>
      <c r="D32" s="2">
        <v>1</v>
      </c>
      <c r="E32" s="2">
        <v>1</v>
      </c>
      <c r="F32" s="2">
        <v>1.1000000000000001</v>
      </c>
      <c r="G32" s="2">
        <v>600</v>
      </c>
      <c r="H32" s="2">
        <v>1.2</v>
      </c>
      <c r="I32" s="2">
        <v>60</v>
      </c>
      <c r="J32" s="1">
        <v>0.05</v>
      </c>
      <c r="K32" s="2">
        <v>128.15029999999999</v>
      </c>
      <c r="L32" s="3">
        <v>2.2000000000000001E-3</v>
      </c>
      <c r="M32" s="4">
        <f t="shared" si="0"/>
        <v>0.28193066</v>
      </c>
      <c r="N32" s="4">
        <v>8</v>
      </c>
      <c r="O32">
        <f t="shared" si="1"/>
        <v>1095</v>
      </c>
      <c r="P32" s="5">
        <f t="shared" si="2"/>
        <v>0.99974259535183785</v>
      </c>
      <c r="Q32" s="5">
        <f t="shared" si="3"/>
        <v>2.5740464816215169E-4</v>
      </c>
    </row>
    <row r="33" spans="1:17" x14ac:dyDescent="0.35">
      <c r="A33" s="1" t="s">
        <v>46</v>
      </c>
      <c r="B33" s="1">
        <v>0</v>
      </c>
      <c r="C33" s="1">
        <v>0</v>
      </c>
      <c r="D33" s="1">
        <v>1</v>
      </c>
      <c r="E33" s="1">
        <v>1</v>
      </c>
      <c r="F33" s="1">
        <v>1.1000000000000001</v>
      </c>
      <c r="G33" s="1">
        <v>600</v>
      </c>
      <c r="H33" s="1">
        <v>1.2</v>
      </c>
      <c r="I33" s="1">
        <v>60</v>
      </c>
      <c r="J33" s="1">
        <v>0.05</v>
      </c>
      <c r="K33" s="1">
        <v>58.322249999999997</v>
      </c>
      <c r="L33" s="3">
        <v>2.2000000000000001E-3</v>
      </c>
      <c r="M33" s="4">
        <f t="shared" si="0"/>
        <v>0.12830895</v>
      </c>
      <c r="N33" s="4">
        <v>8</v>
      </c>
      <c r="O33">
        <f t="shared" si="1"/>
        <v>1095</v>
      </c>
      <c r="P33" s="5">
        <f t="shared" si="2"/>
        <v>0.99988283660558186</v>
      </c>
      <c r="Q33" s="5">
        <f t="shared" si="3"/>
        <v>1.171633944181405E-4</v>
      </c>
    </row>
    <row r="34" spans="1:17" x14ac:dyDescent="0.35">
      <c r="A34" s="2" t="s">
        <v>47</v>
      </c>
      <c r="B34" s="2">
        <v>0</v>
      </c>
      <c r="C34" s="2">
        <v>0</v>
      </c>
      <c r="D34" s="2">
        <v>1</v>
      </c>
      <c r="E34" s="2">
        <v>1</v>
      </c>
      <c r="F34" s="2">
        <v>1.1000000000000001</v>
      </c>
      <c r="G34" s="2">
        <v>600</v>
      </c>
      <c r="H34" s="2">
        <v>1.2</v>
      </c>
      <c r="I34" s="2">
        <v>60</v>
      </c>
      <c r="J34" s="1">
        <v>0.05</v>
      </c>
      <c r="K34" s="2">
        <v>188.05950000000001</v>
      </c>
      <c r="L34" s="3">
        <v>2.2000000000000001E-3</v>
      </c>
      <c r="M34" s="4">
        <f t="shared" si="0"/>
        <v>0.41373090000000007</v>
      </c>
      <c r="N34" s="4">
        <v>8</v>
      </c>
      <c r="O34">
        <f t="shared" si="1"/>
        <v>1095</v>
      </c>
      <c r="P34" s="5">
        <f t="shared" si="2"/>
        <v>0.99962230626809823</v>
      </c>
      <c r="Q34" s="5">
        <f t="shared" si="3"/>
        <v>3.7769373190177369E-4</v>
      </c>
    </row>
    <row r="35" spans="1:17" x14ac:dyDescent="0.35">
      <c r="A35" s="1" t="s">
        <v>48</v>
      </c>
      <c r="B35" s="1">
        <v>0</v>
      </c>
      <c r="C35" s="1">
        <v>0</v>
      </c>
      <c r="D35" s="1">
        <v>1</v>
      </c>
      <c r="E35" s="1">
        <v>1</v>
      </c>
      <c r="F35" s="1">
        <v>1.1000000000000001</v>
      </c>
      <c r="G35" s="1">
        <v>600</v>
      </c>
      <c r="H35" s="1">
        <v>1.2</v>
      </c>
      <c r="I35" s="1">
        <v>60</v>
      </c>
      <c r="J35" s="1">
        <v>0.05</v>
      </c>
      <c r="K35" s="1">
        <v>247.96879999999999</v>
      </c>
      <c r="L35" s="3">
        <v>2.2000000000000001E-3</v>
      </c>
      <c r="M35" s="4">
        <f t="shared" si="0"/>
        <v>0.54553136000000002</v>
      </c>
      <c r="N35" s="4">
        <v>8</v>
      </c>
      <c r="O35">
        <f t="shared" si="1"/>
        <v>1095</v>
      </c>
      <c r="P35" s="5">
        <f t="shared" si="2"/>
        <v>0.99950204592654146</v>
      </c>
      <c r="Q35" s="5">
        <f t="shared" si="3"/>
        <v>4.979540734585397E-4</v>
      </c>
    </row>
    <row r="36" spans="1:17" x14ac:dyDescent="0.35">
      <c r="A36" s="2" t="s">
        <v>49</v>
      </c>
      <c r="B36" s="2">
        <v>0</v>
      </c>
      <c r="C36" s="2">
        <v>0</v>
      </c>
      <c r="D36" s="2">
        <v>1</v>
      </c>
      <c r="E36" s="2">
        <v>1</v>
      </c>
      <c r="F36" s="2">
        <v>1.1000000000000001</v>
      </c>
      <c r="G36" s="2">
        <v>600</v>
      </c>
      <c r="H36" s="2">
        <v>1.2</v>
      </c>
      <c r="I36" s="2">
        <v>60</v>
      </c>
      <c r="J36" s="1">
        <v>0.05</v>
      </c>
      <c r="K36" s="2">
        <v>59.90925</v>
      </c>
      <c r="L36" s="3">
        <v>2.2000000000000001E-3</v>
      </c>
      <c r="M36" s="4">
        <f t="shared" si="0"/>
        <v>0.13180035000000001</v>
      </c>
      <c r="N36" s="4">
        <v>8</v>
      </c>
      <c r="O36">
        <f t="shared" si="1"/>
        <v>1095</v>
      </c>
      <c r="P36" s="5">
        <f t="shared" si="2"/>
        <v>0.9998796488696996</v>
      </c>
      <c r="Q36" s="5">
        <f t="shared" si="3"/>
        <v>1.2035113030040012E-4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7FB74-CB4C-4E02-8674-991708E7068D}">
  <dimension ref="A2:P14"/>
  <sheetViews>
    <sheetView workbookViewId="0">
      <selection activeCell="F3" sqref="F3"/>
    </sheetView>
  </sheetViews>
  <sheetFormatPr defaultRowHeight="14.5" x14ac:dyDescent="0.35"/>
  <cols>
    <col min="1" max="1" width="8.6328125" bestFit="1" customWidth="1"/>
    <col min="2" max="2" width="11.453125" bestFit="1" customWidth="1"/>
    <col min="3" max="3" width="8.81640625" bestFit="1" customWidth="1"/>
    <col min="9" max="9" width="8.81640625" customWidth="1"/>
  </cols>
  <sheetData>
    <row r="2" spans="1:16" x14ac:dyDescent="0.35">
      <c r="A2" t="s">
        <v>51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50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</row>
    <row r="3" spans="1:16" x14ac:dyDescent="0.35">
      <c r="A3" s="1" t="s">
        <v>80</v>
      </c>
      <c r="B3" s="1">
        <v>0</v>
      </c>
      <c r="C3" s="1">
        <v>0</v>
      </c>
      <c r="D3" s="1">
        <v>1</v>
      </c>
      <c r="E3" s="1">
        <v>0</v>
      </c>
      <c r="F3" s="1">
        <v>1.1000000000000001</v>
      </c>
      <c r="G3" s="1">
        <v>600</v>
      </c>
      <c r="H3" s="1">
        <v>1.2</v>
      </c>
      <c r="I3" s="1">
        <v>60</v>
      </c>
      <c r="J3" s="1">
        <v>0.05</v>
      </c>
    </row>
    <row r="4" spans="1:16" x14ac:dyDescent="0.35">
      <c r="A4" s="2" t="s">
        <v>81</v>
      </c>
      <c r="B4" s="2">
        <v>0</v>
      </c>
      <c r="C4" s="2">
        <v>0</v>
      </c>
      <c r="D4" s="2">
        <v>1</v>
      </c>
      <c r="E4" s="2">
        <v>0</v>
      </c>
      <c r="F4" s="2">
        <v>1.1000000000000001</v>
      </c>
      <c r="G4" s="2">
        <v>600</v>
      </c>
      <c r="H4" s="2">
        <v>1.2</v>
      </c>
      <c r="I4" s="2">
        <v>60</v>
      </c>
      <c r="J4" s="2">
        <v>0.05</v>
      </c>
    </row>
    <row r="5" spans="1:16" x14ac:dyDescent="0.35">
      <c r="A5" s="1" t="s">
        <v>82</v>
      </c>
      <c r="B5" s="1">
        <v>0</v>
      </c>
      <c r="C5" s="1">
        <v>0</v>
      </c>
      <c r="D5" s="1">
        <v>1</v>
      </c>
      <c r="E5" s="1">
        <v>0</v>
      </c>
      <c r="F5" s="1">
        <v>1.1000000000000001</v>
      </c>
      <c r="G5" s="1">
        <v>600</v>
      </c>
      <c r="H5" s="1">
        <v>1.2</v>
      </c>
      <c r="I5" s="1">
        <v>60</v>
      </c>
      <c r="J5" s="1">
        <v>0.05</v>
      </c>
    </row>
    <row r="6" spans="1:16" x14ac:dyDescent="0.35">
      <c r="A6" s="2" t="s">
        <v>83</v>
      </c>
      <c r="B6" s="1">
        <v>0</v>
      </c>
      <c r="C6" s="1">
        <v>0</v>
      </c>
      <c r="D6" s="1">
        <v>1</v>
      </c>
      <c r="E6" s="1">
        <v>0</v>
      </c>
      <c r="F6" s="1">
        <v>1.1000000000000001</v>
      </c>
      <c r="G6" s="1">
        <v>600</v>
      </c>
      <c r="H6" s="1">
        <v>1.2</v>
      </c>
      <c r="I6" s="1">
        <v>60</v>
      </c>
      <c r="J6" s="1">
        <v>0.05</v>
      </c>
    </row>
    <row r="7" spans="1:16" x14ac:dyDescent="0.35">
      <c r="A7" s="1" t="s">
        <v>84</v>
      </c>
      <c r="B7" s="2">
        <v>0</v>
      </c>
      <c r="C7" s="2">
        <v>0</v>
      </c>
      <c r="D7" s="2">
        <v>1</v>
      </c>
      <c r="E7" s="2">
        <v>0</v>
      </c>
      <c r="F7" s="2">
        <v>1.1000000000000001</v>
      </c>
      <c r="G7" s="2">
        <v>600</v>
      </c>
      <c r="H7" s="2">
        <v>1.2</v>
      </c>
      <c r="I7" s="2">
        <v>60</v>
      </c>
      <c r="J7" s="2">
        <v>0.05</v>
      </c>
    </row>
    <row r="8" spans="1:16" x14ac:dyDescent="0.35">
      <c r="A8" s="2" t="s">
        <v>85</v>
      </c>
      <c r="B8" s="1">
        <v>0</v>
      </c>
      <c r="C8" s="1">
        <v>0</v>
      </c>
      <c r="D8" s="1">
        <v>1</v>
      </c>
      <c r="E8" s="1">
        <v>0</v>
      </c>
      <c r="F8" s="1">
        <v>1.1000000000000001</v>
      </c>
      <c r="G8" s="1">
        <v>600</v>
      </c>
      <c r="H8" s="1">
        <v>1.2</v>
      </c>
      <c r="I8" s="1">
        <v>60</v>
      </c>
      <c r="J8" s="1">
        <v>0.05</v>
      </c>
    </row>
    <row r="9" spans="1:16" x14ac:dyDescent="0.35">
      <c r="A9" s="1" t="s">
        <v>86</v>
      </c>
      <c r="B9" s="1">
        <v>0</v>
      </c>
      <c r="C9" s="1">
        <v>0</v>
      </c>
      <c r="D9" s="1">
        <v>1</v>
      </c>
      <c r="E9" s="1">
        <v>0</v>
      </c>
      <c r="F9" s="1">
        <v>1.1000000000000001</v>
      </c>
      <c r="G9" s="1">
        <v>600</v>
      </c>
      <c r="H9" s="1">
        <v>1.2</v>
      </c>
      <c r="I9" s="1">
        <v>60</v>
      </c>
      <c r="J9" s="1">
        <v>0.05</v>
      </c>
    </row>
    <row r="10" spans="1:16" x14ac:dyDescent="0.35">
      <c r="A10" s="2" t="s">
        <v>87</v>
      </c>
      <c r="B10" s="2">
        <v>0</v>
      </c>
      <c r="C10" s="2">
        <v>0</v>
      </c>
      <c r="D10" s="2">
        <v>1</v>
      </c>
      <c r="E10" s="2">
        <v>0</v>
      </c>
      <c r="F10" s="2">
        <v>1.1000000000000001</v>
      </c>
      <c r="G10" s="2">
        <v>600</v>
      </c>
      <c r="H10" s="2">
        <v>1.2</v>
      </c>
      <c r="I10" s="2">
        <v>60</v>
      </c>
      <c r="J10" s="2">
        <v>0.05</v>
      </c>
    </row>
    <row r="11" spans="1:16" x14ac:dyDescent="0.35">
      <c r="A11" s="1" t="s">
        <v>88</v>
      </c>
      <c r="B11" s="1">
        <v>0</v>
      </c>
      <c r="C11" s="1">
        <v>0</v>
      </c>
      <c r="D11" s="1">
        <v>1</v>
      </c>
      <c r="E11" s="1">
        <v>0</v>
      </c>
      <c r="F11" s="1">
        <v>1.1000000000000001</v>
      </c>
      <c r="G11" s="1">
        <v>600</v>
      </c>
      <c r="H11" s="1">
        <v>1.2</v>
      </c>
      <c r="I11" s="1">
        <v>60</v>
      </c>
      <c r="J11" s="1">
        <v>0.05</v>
      </c>
    </row>
    <row r="12" spans="1:16" x14ac:dyDescent="0.35">
      <c r="A12" s="2" t="s">
        <v>89</v>
      </c>
      <c r="B12" s="1">
        <v>0</v>
      </c>
      <c r="C12" s="1">
        <v>0</v>
      </c>
      <c r="D12" s="1">
        <v>1</v>
      </c>
      <c r="E12" s="1">
        <v>0</v>
      </c>
      <c r="F12" s="1">
        <v>1.1000000000000001</v>
      </c>
      <c r="G12" s="1">
        <v>600</v>
      </c>
      <c r="H12" s="1">
        <v>1.2</v>
      </c>
      <c r="I12" s="1">
        <v>60</v>
      </c>
      <c r="J12" s="1">
        <v>0.05</v>
      </c>
    </row>
    <row r="13" spans="1:16" x14ac:dyDescent="0.35">
      <c r="A13" s="1" t="s">
        <v>90</v>
      </c>
      <c r="B13" s="2">
        <v>0</v>
      </c>
      <c r="C13" s="2">
        <v>0</v>
      </c>
      <c r="D13" s="2">
        <v>1</v>
      </c>
      <c r="E13" s="2">
        <v>0</v>
      </c>
      <c r="F13" s="2">
        <v>1.1000000000000001</v>
      </c>
      <c r="G13" s="2">
        <v>600</v>
      </c>
      <c r="H13" s="2">
        <v>1.2</v>
      </c>
      <c r="I13" s="2">
        <v>60</v>
      </c>
      <c r="J13" s="2">
        <v>0.05</v>
      </c>
    </row>
    <row r="14" spans="1:16" x14ac:dyDescent="0.35">
      <c r="A14" s="2" t="s">
        <v>91</v>
      </c>
      <c r="B14" s="1">
        <v>0</v>
      </c>
      <c r="C14" s="1">
        <v>0</v>
      </c>
      <c r="D14" s="1">
        <v>1</v>
      </c>
      <c r="E14" s="1">
        <v>0</v>
      </c>
      <c r="F14" s="1">
        <v>1.1000000000000001</v>
      </c>
      <c r="G14" s="1">
        <v>600</v>
      </c>
      <c r="H14" s="1">
        <v>1.2</v>
      </c>
      <c r="I14" s="1">
        <v>60</v>
      </c>
      <c r="J14" s="1">
        <v>0.05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6EC87-83D0-4825-B70D-C9C3B6082EFE}">
  <dimension ref="A2:Z21"/>
  <sheetViews>
    <sheetView topLeftCell="F1" workbookViewId="0">
      <selection activeCell="R23" sqref="R23"/>
    </sheetView>
  </sheetViews>
  <sheetFormatPr defaultRowHeight="14.5" x14ac:dyDescent="0.35"/>
  <sheetData>
    <row r="2" spans="1:26" x14ac:dyDescent="0.35">
      <c r="A2" t="s">
        <v>70</v>
      </c>
      <c r="B2" t="s">
        <v>1</v>
      </c>
      <c r="C2" t="s">
        <v>2</v>
      </c>
      <c r="D2" t="s">
        <v>3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50</v>
      </c>
      <c r="O2" t="s">
        <v>58</v>
      </c>
      <c r="P2" t="s">
        <v>59</v>
      </c>
      <c r="Q2" t="s">
        <v>60</v>
      </c>
      <c r="R2" t="s">
        <v>61</v>
      </c>
      <c r="S2" t="s">
        <v>62</v>
      </c>
      <c r="T2" t="s">
        <v>63</v>
      </c>
      <c r="U2" t="s">
        <v>64</v>
      </c>
      <c r="V2" t="s">
        <v>65</v>
      </c>
      <c r="W2" t="s">
        <v>66</v>
      </c>
      <c r="X2" t="s">
        <v>67</v>
      </c>
      <c r="Y2" t="s">
        <v>68</v>
      </c>
      <c r="Z2" t="s">
        <v>69</v>
      </c>
    </row>
    <row r="3" spans="1:26" x14ac:dyDescent="0.35">
      <c r="A3" s="1" t="s">
        <v>102</v>
      </c>
      <c r="B3" s="1">
        <v>0</v>
      </c>
      <c r="C3" s="1">
        <v>0</v>
      </c>
      <c r="D3" s="1">
        <v>1</v>
      </c>
      <c r="E3" s="1">
        <v>1</v>
      </c>
      <c r="F3" s="1">
        <v>1.1000000000000001</v>
      </c>
      <c r="G3" s="1">
        <v>60</v>
      </c>
      <c r="H3" s="1">
        <v>1.2</v>
      </c>
      <c r="I3" s="1">
        <v>0.1</v>
      </c>
      <c r="J3" s="1">
        <v>0.9</v>
      </c>
      <c r="K3" s="1">
        <v>60</v>
      </c>
      <c r="L3" s="1">
        <v>0.8</v>
      </c>
      <c r="M3" s="1">
        <v>0.5</v>
      </c>
      <c r="N3" s="1">
        <v>0.05</v>
      </c>
      <c r="O3" s="1">
        <v>1</v>
      </c>
      <c r="P3" s="1">
        <v>63</v>
      </c>
      <c r="Q3" s="1">
        <v>0.5</v>
      </c>
      <c r="R3" s="1">
        <v>57.5</v>
      </c>
      <c r="S3" s="1">
        <v>0.5</v>
      </c>
      <c r="T3" s="1">
        <v>0.8</v>
      </c>
      <c r="U3" s="1">
        <v>0.1</v>
      </c>
      <c r="V3" s="1">
        <v>0.1</v>
      </c>
      <c r="W3" s="1">
        <v>1</v>
      </c>
      <c r="X3" s="1">
        <v>5</v>
      </c>
      <c r="Y3" s="1">
        <v>-2.5</v>
      </c>
      <c r="Z3" s="1">
        <v>0.5</v>
      </c>
    </row>
    <row r="4" spans="1:26" x14ac:dyDescent="0.35">
      <c r="A4" s="2" t="s">
        <v>103</v>
      </c>
      <c r="B4" s="2">
        <v>0</v>
      </c>
      <c r="C4" s="2">
        <v>0</v>
      </c>
      <c r="D4" s="2">
        <v>1</v>
      </c>
      <c r="E4" s="2">
        <v>1</v>
      </c>
      <c r="F4" s="2">
        <v>1.1000000000000001</v>
      </c>
      <c r="G4" s="2">
        <v>120</v>
      </c>
      <c r="H4" s="2">
        <v>1.2</v>
      </c>
      <c r="I4" s="2">
        <v>0.1</v>
      </c>
      <c r="J4" s="2">
        <v>0.9</v>
      </c>
      <c r="K4" s="2">
        <v>120</v>
      </c>
      <c r="L4" s="2">
        <v>0.8</v>
      </c>
      <c r="M4" s="2">
        <v>0.5</v>
      </c>
      <c r="N4" s="2">
        <v>0.05</v>
      </c>
      <c r="O4" s="2">
        <v>1</v>
      </c>
      <c r="P4" s="2">
        <v>63</v>
      </c>
      <c r="Q4" s="2">
        <v>0.6</v>
      </c>
      <c r="R4" s="2">
        <v>57.5</v>
      </c>
      <c r="S4" s="2">
        <v>0.6</v>
      </c>
      <c r="T4" s="2">
        <v>0.8</v>
      </c>
      <c r="U4" s="2">
        <v>0.1</v>
      </c>
      <c r="V4" s="2">
        <v>0.1</v>
      </c>
      <c r="W4" s="2">
        <v>1</v>
      </c>
      <c r="X4" s="2">
        <v>5</v>
      </c>
      <c r="Y4" s="2">
        <v>-2.5</v>
      </c>
      <c r="Z4" s="2">
        <v>0.6</v>
      </c>
    </row>
    <row r="5" spans="1:26" x14ac:dyDescent="0.35">
      <c r="A5" s="1" t="s">
        <v>104</v>
      </c>
      <c r="B5" s="1">
        <v>0</v>
      </c>
      <c r="C5" s="1">
        <v>0</v>
      </c>
      <c r="D5" s="1">
        <v>1</v>
      </c>
      <c r="E5" s="1">
        <v>1</v>
      </c>
      <c r="F5" s="1">
        <v>1.1000000000000001</v>
      </c>
      <c r="G5" s="1">
        <v>600</v>
      </c>
      <c r="H5" s="1">
        <v>1.2</v>
      </c>
      <c r="I5" s="1">
        <v>0.1</v>
      </c>
      <c r="J5" s="1">
        <v>0.9</v>
      </c>
      <c r="K5" s="1">
        <v>600</v>
      </c>
      <c r="L5" s="1">
        <v>0.8</v>
      </c>
      <c r="M5" s="1">
        <v>0.5</v>
      </c>
      <c r="N5" s="1">
        <v>0.05</v>
      </c>
      <c r="O5" s="1">
        <v>1</v>
      </c>
      <c r="P5" s="1">
        <v>63</v>
      </c>
      <c r="Q5" s="1">
        <v>0.7</v>
      </c>
      <c r="R5" s="1">
        <v>57.5</v>
      </c>
      <c r="S5" s="1">
        <v>0.7</v>
      </c>
      <c r="T5" s="1">
        <v>0.8</v>
      </c>
      <c r="U5" s="1">
        <v>0.1</v>
      </c>
      <c r="V5" s="1">
        <v>0.1</v>
      </c>
      <c r="W5" s="1">
        <v>1</v>
      </c>
      <c r="X5" s="1">
        <v>5</v>
      </c>
      <c r="Y5" s="1">
        <v>-2.5</v>
      </c>
      <c r="Z5" s="1">
        <v>0.7</v>
      </c>
    </row>
    <row r="6" spans="1:26" x14ac:dyDescent="0.35">
      <c r="A6" s="2" t="s">
        <v>105</v>
      </c>
      <c r="B6" s="2">
        <v>0</v>
      </c>
      <c r="C6" s="2">
        <v>0</v>
      </c>
      <c r="D6" s="2">
        <v>1</v>
      </c>
      <c r="E6" s="2">
        <v>1</v>
      </c>
      <c r="F6" s="2">
        <v>1.1000000000000001</v>
      </c>
      <c r="G6" s="2">
        <v>60</v>
      </c>
      <c r="H6" s="2">
        <v>1.2</v>
      </c>
      <c r="I6" s="2">
        <v>0.1</v>
      </c>
      <c r="J6" s="2">
        <v>0.9</v>
      </c>
      <c r="K6" s="2">
        <v>60</v>
      </c>
      <c r="L6" s="2">
        <v>0.8</v>
      </c>
      <c r="M6" s="2">
        <v>0.5</v>
      </c>
      <c r="N6" s="2">
        <v>0.05</v>
      </c>
      <c r="O6" s="2">
        <v>1</v>
      </c>
      <c r="P6" s="2">
        <v>63</v>
      </c>
      <c r="Q6" s="2">
        <v>0.8</v>
      </c>
      <c r="R6" s="2">
        <v>57.5</v>
      </c>
      <c r="S6" s="2">
        <v>0.8</v>
      </c>
      <c r="T6" s="2">
        <v>0.8</v>
      </c>
      <c r="U6" s="2">
        <v>0.1</v>
      </c>
      <c r="V6" s="2">
        <v>0.1</v>
      </c>
      <c r="W6" s="2">
        <v>1</v>
      </c>
      <c r="X6" s="2">
        <v>5</v>
      </c>
      <c r="Y6" s="2">
        <v>-2.5</v>
      </c>
      <c r="Z6" s="2">
        <v>0.8</v>
      </c>
    </row>
    <row r="7" spans="1:26" x14ac:dyDescent="0.35">
      <c r="A7" s="1" t="s">
        <v>106</v>
      </c>
      <c r="B7" s="1">
        <v>0</v>
      </c>
      <c r="C7" s="1">
        <v>0</v>
      </c>
      <c r="D7" s="1">
        <v>1</v>
      </c>
      <c r="E7" s="1">
        <v>1</v>
      </c>
      <c r="F7" s="1">
        <v>1.1000000000000001</v>
      </c>
      <c r="G7" s="1">
        <v>120</v>
      </c>
      <c r="H7" s="1">
        <v>1.2</v>
      </c>
      <c r="I7" s="1">
        <v>0.1</v>
      </c>
      <c r="J7" s="1">
        <v>0.9</v>
      </c>
      <c r="K7" s="1">
        <v>120</v>
      </c>
      <c r="L7" s="1">
        <v>0.8</v>
      </c>
      <c r="M7" s="1">
        <v>0.5</v>
      </c>
      <c r="N7" s="1">
        <v>0.05</v>
      </c>
      <c r="O7" s="1">
        <v>1</v>
      </c>
      <c r="P7" s="1">
        <v>63</v>
      </c>
      <c r="Q7" s="1">
        <v>0.9</v>
      </c>
      <c r="R7" s="1">
        <v>57.5</v>
      </c>
      <c r="S7" s="1">
        <v>0.9</v>
      </c>
      <c r="T7" s="1">
        <v>0.8</v>
      </c>
      <c r="U7" s="1">
        <v>0.1</v>
      </c>
      <c r="V7" s="1">
        <v>0.1</v>
      </c>
      <c r="W7" s="1">
        <v>1</v>
      </c>
      <c r="X7" s="1">
        <v>5</v>
      </c>
      <c r="Y7" s="1">
        <v>-2.5</v>
      </c>
      <c r="Z7" s="1">
        <v>0.9</v>
      </c>
    </row>
    <row r="8" spans="1:26" x14ac:dyDescent="0.35">
      <c r="A8" s="2" t="s">
        <v>107</v>
      </c>
      <c r="B8" s="2">
        <v>0</v>
      </c>
      <c r="C8" s="2">
        <v>0</v>
      </c>
      <c r="D8" s="2">
        <v>1</v>
      </c>
      <c r="E8" s="2">
        <v>1</v>
      </c>
      <c r="F8" s="2">
        <v>1.1000000000000001</v>
      </c>
      <c r="G8" s="2">
        <v>600</v>
      </c>
      <c r="H8" s="2">
        <v>1.2</v>
      </c>
      <c r="I8" s="2">
        <v>0.1</v>
      </c>
      <c r="J8" s="2">
        <v>0.9</v>
      </c>
      <c r="K8" s="2">
        <v>600</v>
      </c>
      <c r="L8" s="2">
        <v>0.8</v>
      </c>
      <c r="M8" s="2">
        <v>0.5</v>
      </c>
      <c r="N8" s="2">
        <v>0.05</v>
      </c>
      <c r="O8" s="2">
        <v>1</v>
      </c>
      <c r="P8" s="2">
        <v>63</v>
      </c>
      <c r="Q8" s="2">
        <v>1</v>
      </c>
      <c r="R8" s="2">
        <v>57.5</v>
      </c>
      <c r="S8" s="2">
        <v>1</v>
      </c>
      <c r="T8" s="2">
        <v>0.8</v>
      </c>
      <c r="U8" s="2">
        <v>0.1</v>
      </c>
      <c r="V8" s="2">
        <v>0.1</v>
      </c>
      <c r="W8" s="2">
        <v>1</v>
      </c>
      <c r="X8" s="2">
        <v>5</v>
      </c>
      <c r="Y8" s="2">
        <v>-2.5</v>
      </c>
      <c r="Z8" s="2">
        <v>1</v>
      </c>
    </row>
    <row r="9" spans="1:26" x14ac:dyDescent="0.35">
      <c r="A9" s="1" t="s">
        <v>108</v>
      </c>
      <c r="B9" s="1">
        <v>0</v>
      </c>
      <c r="C9" s="1">
        <v>0</v>
      </c>
      <c r="D9" s="1">
        <v>1</v>
      </c>
      <c r="E9" s="1">
        <v>1</v>
      </c>
      <c r="F9" s="1">
        <v>1.1000000000000001</v>
      </c>
      <c r="G9" s="1">
        <v>60</v>
      </c>
      <c r="H9" s="1">
        <v>1.2</v>
      </c>
      <c r="I9" s="1">
        <v>0.1</v>
      </c>
      <c r="J9" s="1">
        <v>0.9</v>
      </c>
      <c r="K9" s="1">
        <v>60</v>
      </c>
      <c r="L9" s="1">
        <v>0.8</v>
      </c>
      <c r="M9" s="1">
        <v>0.5</v>
      </c>
      <c r="N9" s="1">
        <v>0.05</v>
      </c>
      <c r="O9" s="1">
        <v>1</v>
      </c>
      <c r="P9" s="1">
        <v>63</v>
      </c>
      <c r="Q9" s="1">
        <v>0.1</v>
      </c>
      <c r="R9" s="1">
        <v>57.5</v>
      </c>
      <c r="S9" s="1">
        <v>0.1</v>
      </c>
      <c r="T9" s="1">
        <v>0.8</v>
      </c>
      <c r="U9" s="1">
        <v>0.1</v>
      </c>
      <c r="V9" s="1">
        <v>0.1</v>
      </c>
      <c r="W9" s="1">
        <v>1</v>
      </c>
      <c r="X9" s="1">
        <v>5</v>
      </c>
      <c r="Y9" s="1">
        <v>-2.5</v>
      </c>
      <c r="Z9" s="1">
        <v>0.1</v>
      </c>
    </row>
    <row r="10" spans="1:26" x14ac:dyDescent="0.35">
      <c r="A10" s="2" t="s">
        <v>109</v>
      </c>
      <c r="B10" s="2">
        <v>0</v>
      </c>
      <c r="C10" s="2">
        <v>0</v>
      </c>
      <c r="D10" s="2">
        <v>1</v>
      </c>
      <c r="E10" s="2">
        <v>1</v>
      </c>
      <c r="F10" s="2">
        <v>1.1000000000000001</v>
      </c>
      <c r="G10" s="2">
        <v>120</v>
      </c>
      <c r="H10" s="2">
        <v>1.2</v>
      </c>
      <c r="I10" s="2">
        <v>0.1</v>
      </c>
      <c r="J10" s="2">
        <v>0.9</v>
      </c>
      <c r="K10" s="2">
        <v>120</v>
      </c>
      <c r="L10" s="2">
        <v>0.8</v>
      </c>
      <c r="M10" s="2">
        <v>0.5</v>
      </c>
      <c r="N10" s="2">
        <v>0.05</v>
      </c>
      <c r="O10" s="2">
        <v>1</v>
      </c>
      <c r="P10" s="2">
        <v>63</v>
      </c>
      <c r="Q10" s="2">
        <v>0.2</v>
      </c>
      <c r="R10" s="2">
        <v>57.5</v>
      </c>
      <c r="S10" s="2">
        <v>0.2</v>
      </c>
      <c r="T10" s="2">
        <v>0.8</v>
      </c>
      <c r="U10" s="2">
        <v>0.1</v>
      </c>
      <c r="V10" s="2">
        <v>0.1</v>
      </c>
      <c r="W10" s="2">
        <v>1</v>
      </c>
      <c r="X10" s="2">
        <v>5</v>
      </c>
      <c r="Y10" s="2">
        <v>-2.5</v>
      </c>
      <c r="Z10" s="2">
        <v>0.2</v>
      </c>
    </row>
    <row r="11" spans="1:26" x14ac:dyDescent="0.35">
      <c r="A11" s="1" t="s">
        <v>110</v>
      </c>
      <c r="B11" s="1">
        <v>0</v>
      </c>
      <c r="C11" s="1">
        <v>0</v>
      </c>
      <c r="D11" s="1">
        <v>1</v>
      </c>
      <c r="E11" s="2">
        <v>1</v>
      </c>
      <c r="F11" s="2">
        <v>1.1000000000000001</v>
      </c>
      <c r="G11" s="2">
        <v>600</v>
      </c>
      <c r="H11" s="2">
        <v>1.2</v>
      </c>
      <c r="I11" s="2">
        <v>0.1</v>
      </c>
      <c r="J11" s="2">
        <v>0.9</v>
      </c>
      <c r="K11" s="2">
        <v>600</v>
      </c>
      <c r="L11" s="2">
        <v>0.8</v>
      </c>
      <c r="M11" s="2">
        <v>0.5</v>
      </c>
      <c r="N11" s="2">
        <v>0.05</v>
      </c>
      <c r="O11" s="2">
        <v>1</v>
      </c>
      <c r="P11" s="2">
        <v>63</v>
      </c>
      <c r="Q11" s="2">
        <v>0.3</v>
      </c>
      <c r="R11" s="2">
        <v>57.5</v>
      </c>
      <c r="S11" s="2">
        <v>0.3</v>
      </c>
      <c r="T11" s="2">
        <v>0.8</v>
      </c>
      <c r="U11" s="1">
        <v>0.1</v>
      </c>
      <c r="V11" s="1">
        <v>0.1</v>
      </c>
      <c r="W11" s="1">
        <v>1</v>
      </c>
      <c r="X11" s="1">
        <v>5</v>
      </c>
      <c r="Y11" s="1">
        <v>-2.5</v>
      </c>
      <c r="Z11" s="1">
        <v>0.3</v>
      </c>
    </row>
    <row r="12" spans="1:26" x14ac:dyDescent="0.35">
      <c r="A12" s="2" t="s">
        <v>111</v>
      </c>
      <c r="B12" s="1">
        <v>0</v>
      </c>
      <c r="C12" s="1">
        <v>0</v>
      </c>
      <c r="D12" s="1">
        <v>1</v>
      </c>
      <c r="E12" s="1">
        <v>1</v>
      </c>
      <c r="F12" s="1">
        <v>1.1000000000000001</v>
      </c>
      <c r="G12" s="1">
        <v>60</v>
      </c>
      <c r="H12" s="1">
        <v>1.2</v>
      </c>
      <c r="I12" s="1">
        <v>0.1</v>
      </c>
      <c r="J12" s="1">
        <v>0.9</v>
      </c>
      <c r="K12" s="1">
        <v>60</v>
      </c>
      <c r="L12" s="1">
        <v>0.8</v>
      </c>
      <c r="M12" s="1">
        <v>0.5</v>
      </c>
      <c r="N12" s="1">
        <v>0.05</v>
      </c>
      <c r="O12" s="1">
        <v>1</v>
      </c>
      <c r="P12" s="1">
        <v>63</v>
      </c>
      <c r="Q12" s="1">
        <v>0.5</v>
      </c>
      <c r="R12" s="1">
        <v>57.5</v>
      </c>
      <c r="S12" s="1">
        <v>0.5</v>
      </c>
      <c r="T12" s="1">
        <v>0.8</v>
      </c>
      <c r="U12" s="1">
        <v>0.1</v>
      </c>
      <c r="V12" s="1">
        <v>0.1</v>
      </c>
      <c r="W12" s="1">
        <v>1</v>
      </c>
      <c r="X12" s="1">
        <v>5</v>
      </c>
      <c r="Y12" s="1">
        <v>-2.5</v>
      </c>
      <c r="Z12" s="1">
        <v>0.5</v>
      </c>
    </row>
    <row r="13" spans="1:26" x14ac:dyDescent="0.35">
      <c r="A13" s="1" t="s">
        <v>112</v>
      </c>
      <c r="B13" s="2">
        <v>0</v>
      </c>
      <c r="C13" s="2">
        <v>0</v>
      </c>
      <c r="D13" s="2">
        <v>1</v>
      </c>
      <c r="E13" s="2">
        <v>1</v>
      </c>
      <c r="F13" s="2">
        <v>1.1000000000000001</v>
      </c>
      <c r="G13" s="2">
        <v>120</v>
      </c>
      <c r="H13" s="2">
        <v>1.2</v>
      </c>
      <c r="I13" s="2">
        <v>0.1</v>
      </c>
      <c r="J13" s="2">
        <v>0.9</v>
      </c>
      <c r="K13" s="2">
        <v>120</v>
      </c>
      <c r="L13" s="2">
        <v>0.8</v>
      </c>
      <c r="M13" s="2">
        <v>0.5</v>
      </c>
      <c r="N13" s="2">
        <v>0.05</v>
      </c>
      <c r="O13" s="2">
        <v>1</v>
      </c>
      <c r="P13" s="2">
        <v>63</v>
      </c>
      <c r="Q13" s="2">
        <v>0.6</v>
      </c>
      <c r="R13" s="2">
        <v>57.5</v>
      </c>
      <c r="S13" s="2">
        <v>0.6</v>
      </c>
      <c r="T13" s="2">
        <v>0.8</v>
      </c>
      <c r="U13" s="2">
        <v>0.1</v>
      </c>
      <c r="V13" s="2">
        <v>0.1</v>
      </c>
      <c r="W13" s="2">
        <v>1</v>
      </c>
      <c r="X13" s="2">
        <v>5</v>
      </c>
      <c r="Y13" s="2">
        <v>-2.5</v>
      </c>
      <c r="Z13" s="2">
        <v>0.6</v>
      </c>
    </row>
    <row r="14" spans="1:26" x14ac:dyDescent="0.35">
      <c r="A14" s="2" t="s">
        <v>113</v>
      </c>
      <c r="B14" s="1">
        <v>0</v>
      </c>
      <c r="C14" s="1">
        <v>0</v>
      </c>
      <c r="D14" s="1">
        <v>1</v>
      </c>
      <c r="E14" s="1">
        <v>1</v>
      </c>
      <c r="F14" s="1">
        <v>1.1000000000000001</v>
      </c>
      <c r="G14" s="1">
        <v>600</v>
      </c>
      <c r="H14" s="1">
        <v>1.2</v>
      </c>
      <c r="I14" s="1">
        <v>0.1</v>
      </c>
      <c r="J14" s="1">
        <v>0.9</v>
      </c>
      <c r="K14" s="1">
        <v>600</v>
      </c>
      <c r="L14" s="1">
        <v>0.8</v>
      </c>
      <c r="M14" s="1">
        <v>0.5</v>
      </c>
      <c r="N14" s="1">
        <v>0.05</v>
      </c>
      <c r="O14" s="1">
        <v>1</v>
      </c>
      <c r="P14" s="1">
        <v>63</v>
      </c>
      <c r="Q14" s="1">
        <v>0.7</v>
      </c>
      <c r="R14" s="1">
        <v>57.5</v>
      </c>
      <c r="S14" s="1">
        <v>0.7</v>
      </c>
      <c r="T14" s="1">
        <v>0.8</v>
      </c>
      <c r="U14" s="1">
        <v>0.1</v>
      </c>
      <c r="V14" s="1">
        <v>0.1</v>
      </c>
      <c r="W14" s="1">
        <v>1</v>
      </c>
      <c r="X14" s="1">
        <v>5</v>
      </c>
      <c r="Y14" s="1">
        <v>-2.5</v>
      </c>
      <c r="Z14" s="1">
        <v>0.7</v>
      </c>
    </row>
    <row r="15" spans="1:26" x14ac:dyDescent="0.35">
      <c r="A15" s="1" t="s">
        <v>114</v>
      </c>
      <c r="B15" s="2">
        <v>0</v>
      </c>
      <c r="C15" s="2">
        <v>0</v>
      </c>
      <c r="D15" s="2">
        <v>1</v>
      </c>
      <c r="E15" s="2">
        <v>1</v>
      </c>
      <c r="F15" s="2">
        <v>1.1000000000000001</v>
      </c>
      <c r="G15" s="2">
        <v>60</v>
      </c>
      <c r="H15" s="2">
        <v>1.2</v>
      </c>
      <c r="I15" s="2">
        <v>0.1</v>
      </c>
      <c r="J15" s="2">
        <v>0.9</v>
      </c>
      <c r="K15" s="2">
        <v>60</v>
      </c>
      <c r="L15" s="2">
        <v>0.8</v>
      </c>
      <c r="M15" s="2">
        <v>0.5</v>
      </c>
      <c r="N15" s="2">
        <v>0.05</v>
      </c>
      <c r="O15" s="2">
        <v>1</v>
      </c>
      <c r="P15" s="2">
        <v>63</v>
      </c>
      <c r="Q15" s="2">
        <v>0.8</v>
      </c>
      <c r="R15" s="2">
        <v>57.5</v>
      </c>
      <c r="S15" s="2">
        <v>0.8</v>
      </c>
      <c r="T15" s="2">
        <v>0.8</v>
      </c>
      <c r="U15" s="2">
        <v>0.1</v>
      </c>
      <c r="V15" s="2">
        <v>0.1</v>
      </c>
      <c r="W15" s="2">
        <v>1</v>
      </c>
      <c r="X15" s="2">
        <v>5</v>
      </c>
      <c r="Y15" s="2">
        <v>-2.5</v>
      </c>
      <c r="Z15" s="2">
        <v>0.8</v>
      </c>
    </row>
    <row r="16" spans="1:26" x14ac:dyDescent="0.35">
      <c r="A16" s="2" t="s">
        <v>115</v>
      </c>
      <c r="B16" s="1">
        <v>0</v>
      </c>
      <c r="C16" s="1">
        <v>0</v>
      </c>
      <c r="D16" s="1">
        <v>1</v>
      </c>
      <c r="E16" s="1">
        <v>1</v>
      </c>
      <c r="F16" s="1">
        <v>1.1000000000000001</v>
      </c>
      <c r="G16" s="1">
        <v>120</v>
      </c>
      <c r="H16" s="1">
        <v>1.2</v>
      </c>
      <c r="I16" s="1">
        <v>0.1</v>
      </c>
      <c r="J16" s="1">
        <v>0.9</v>
      </c>
      <c r="K16" s="1">
        <v>120</v>
      </c>
      <c r="L16" s="1">
        <v>0.8</v>
      </c>
      <c r="M16" s="1">
        <v>0.5</v>
      </c>
      <c r="N16" s="1">
        <v>0.05</v>
      </c>
      <c r="O16" s="1">
        <v>1</v>
      </c>
      <c r="P16" s="1">
        <v>63</v>
      </c>
      <c r="Q16" s="1">
        <v>0.9</v>
      </c>
      <c r="R16" s="1">
        <v>57.5</v>
      </c>
      <c r="S16" s="1">
        <v>0.9</v>
      </c>
      <c r="T16" s="1">
        <v>0.8</v>
      </c>
      <c r="U16" s="1">
        <v>0.1</v>
      </c>
      <c r="V16" s="1">
        <v>0.1</v>
      </c>
      <c r="W16" s="1">
        <v>1</v>
      </c>
      <c r="X16" s="1">
        <v>5</v>
      </c>
      <c r="Y16" s="1">
        <v>-2.5</v>
      </c>
      <c r="Z16" s="1">
        <v>0.9</v>
      </c>
    </row>
    <row r="17" spans="1:26" x14ac:dyDescent="0.35">
      <c r="A17" s="1" t="s">
        <v>116</v>
      </c>
      <c r="B17" s="2">
        <v>0</v>
      </c>
      <c r="C17" s="2">
        <v>0</v>
      </c>
      <c r="D17" s="2">
        <v>1</v>
      </c>
      <c r="E17" s="2">
        <v>1</v>
      </c>
      <c r="F17" s="2">
        <v>1.1000000000000001</v>
      </c>
      <c r="G17" s="2">
        <v>600</v>
      </c>
      <c r="H17" s="2">
        <v>1.2</v>
      </c>
      <c r="I17" s="2">
        <v>0.1</v>
      </c>
      <c r="J17" s="2">
        <v>0.9</v>
      </c>
      <c r="K17" s="2">
        <v>600</v>
      </c>
      <c r="L17" s="2">
        <v>0.8</v>
      </c>
      <c r="M17" s="2">
        <v>0.5</v>
      </c>
      <c r="N17" s="2">
        <v>0.05</v>
      </c>
      <c r="O17" s="2">
        <v>1</v>
      </c>
      <c r="P17" s="2">
        <v>63</v>
      </c>
      <c r="Q17" s="2">
        <v>1</v>
      </c>
      <c r="R17" s="2">
        <v>57.5</v>
      </c>
      <c r="S17" s="2">
        <v>1</v>
      </c>
      <c r="T17" s="2">
        <v>0.8</v>
      </c>
      <c r="U17" s="2">
        <v>0.1</v>
      </c>
      <c r="V17" s="2">
        <v>0.1</v>
      </c>
      <c r="W17" s="2">
        <v>1</v>
      </c>
      <c r="X17" s="2">
        <v>5</v>
      </c>
      <c r="Y17" s="2">
        <v>-2.5</v>
      </c>
      <c r="Z17" s="2">
        <v>1</v>
      </c>
    </row>
    <row r="18" spans="1:26" x14ac:dyDescent="0.35">
      <c r="A18" s="2" t="s">
        <v>117</v>
      </c>
      <c r="B18" s="1">
        <v>0</v>
      </c>
      <c r="C18" s="1">
        <v>0</v>
      </c>
      <c r="D18" s="1">
        <v>1</v>
      </c>
      <c r="E18" s="1">
        <v>1</v>
      </c>
      <c r="F18" s="1">
        <v>1.1000000000000001</v>
      </c>
      <c r="G18" s="1">
        <v>60</v>
      </c>
      <c r="H18" s="1">
        <v>1.2</v>
      </c>
      <c r="I18" s="1">
        <v>0.1</v>
      </c>
      <c r="J18" s="1">
        <v>0.9</v>
      </c>
      <c r="K18" s="1">
        <v>60</v>
      </c>
      <c r="L18" s="1">
        <v>0.8</v>
      </c>
      <c r="M18" s="1">
        <v>0.5</v>
      </c>
      <c r="N18" s="1">
        <v>0.05</v>
      </c>
      <c r="O18" s="1">
        <v>1</v>
      </c>
      <c r="P18" s="1">
        <v>63</v>
      </c>
      <c r="Q18" s="1">
        <v>0.1</v>
      </c>
      <c r="R18" s="1">
        <v>57.5</v>
      </c>
      <c r="S18" s="1">
        <v>0.1</v>
      </c>
      <c r="T18" s="1">
        <v>0.8</v>
      </c>
      <c r="U18" s="1">
        <v>0.1</v>
      </c>
      <c r="V18" s="1">
        <v>0.1</v>
      </c>
      <c r="W18" s="1">
        <v>1</v>
      </c>
      <c r="X18" s="1">
        <v>5</v>
      </c>
      <c r="Y18" s="1">
        <v>-2.5</v>
      </c>
      <c r="Z18" s="1">
        <v>0.1</v>
      </c>
    </row>
    <row r="19" spans="1:26" x14ac:dyDescent="0.35">
      <c r="A19" s="1" t="s">
        <v>118</v>
      </c>
      <c r="B19" s="2">
        <v>0</v>
      </c>
      <c r="C19" s="2">
        <v>0</v>
      </c>
      <c r="D19" s="2">
        <v>1</v>
      </c>
      <c r="E19" s="2">
        <v>1</v>
      </c>
      <c r="F19" s="2">
        <v>1.1000000000000001</v>
      </c>
      <c r="G19" s="2">
        <v>120</v>
      </c>
      <c r="H19" s="2">
        <v>1.2</v>
      </c>
      <c r="I19" s="2">
        <v>0.1</v>
      </c>
      <c r="J19" s="2">
        <v>0.9</v>
      </c>
      <c r="K19" s="2">
        <v>120</v>
      </c>
      <c r="L19" s="2">
        <v>0.8</v>
      </c>
      <c r="M19" s="2">
        <v>0.5</v>
      </c>
      <c r="N19" s="2">
        <v>0.05</v>
      </c>
      <c r="O19" s="2">
        <v>1</v>
      </c>
      <c r="P19" s="2">
        <v>63</v>
      </c>
      <c r="Q19" s="2">
        <v>0.2</v>
      </c>
      <c r="R19" s="2">
        <v>57.5</v>
      </c>
      <c r="S19" s="2">
        <v>0.2</v>
      </c>
      <c r="T19" s="2">
        <v>0.8</v>
      </c>
      <c r="U19" s="2">
        <v>0.1</v>
      </c>
      <c r="V19" s="2">
        <v>0.1</v>
      </c>
      <c r="W19" s="2">
        <v>1</v>
      </c>
      <c r="X19" s="2">
        <v>5</v>
      </c>
      <c r="Y19" s="2">
        <v>-2.5</v>
      </c>
      <c r="Z19" s="2">
        <v>0.2</v>
      </c>
    </row>
    <row r="20" spans="1:26" x14ac:dyDescent="0.35">
      <c r="A20" s="2" t="s">
        <v>119</v>
      </c>
      <c r="B20" s="1">
        <v>0</v>
      </c>
      <c r="C20" s="1">
        <v>0</v>
      </c>
      <c r="D20" s="1">
        <v>1</v>
      </c>
      <c r="E20" s="2">
        <v>1</v>
      </c>
      <c r="F20" s="2">
        <v>1.1000000000000001</v>
      </c>
      <c r="G20" s="2">
        <v>600</v>
      </c>
      <c r="H20" s="2">
        <v>1.2</v>
      </c>
      <c r="I20" s="2">
        <v>0.1</v>
      </c>
      <c r="J20" s="2">
        <v>0.9</v>
      </c>
      <c r="K20" s="2">
        <v>600</v>
      </c>
      <c r="L20" s="2">
        <v>0.8</v>
      </c>
      <c r="M20" s="2">
        <v>0.5</v>
      </c>
      <c r="N20" s="2">
        <v>0.05</v>
      </c>
      <c r="O20" s="2">
        <v>1</v>
      </c>
      <c r="P20" s="2">
        <v>63</v>
      </c>
      <c r="Q20" s="2">
        <v>0.3</v>
      </c>
      <c r="R20" s="2">
        <v>57.5</v>
      </c>
      <c r="S20" s="2">
        <v>0.3</v>
      </c>
      <c r="T20" s="2">
        <v>0.8</v>
      </c>
      <c r="U20" s="1">
        <v>0.1</v>
      </c>
      <c r="V20" s="1">
        <v>0.1</v>
      </c>
      <c r="W20" s="1">
        <v>1</v>
      </c>
      <c r="X20" s="1">
        <v>5</v>
      </c>
      <c r="Y20" s="1">
        <v>-2.5</v>
      </c>
      <c r="Z20" s="1">
        <v>0.3</v>
      </c>
    </row>
    <row r="21" spans="1:26" x14ac:dyDescent="0.35">
      <c r="A21" s="1" t="s">
        <v>120</v>
      </c>
      <c r="B21" s="2">
        <v>0</v>
      </c>
      <c r="C21" s="2">
        <v>0</v>
      </c>
      <c r="D21" s="2">
        <v>1</v>
      </c>
      <c r="E21" s="2">
        <v>1</v>
      </c>
      <c r="F21" s="2">
        <v>1.1000000000000001</v>
      </c>
      <c r="G21" s="2">
        <v>600</v>
      </c>
      <c r="H21" s="2">
        <v>1.2</v>
      </c>
      <c r="I21" s="2">
        <v>0.1</v>
      </c>
      <c r="J21" s="2">
        <v>0.9</v>
      </c>
      <c r="K21" s="2">
        <v>600</v>
      </c>
      <c r="L21" s="2">
        <v>0.8</v>
      </c>
      <c r="M21" s="2">
        <v>0.5</v>
      </c>
      <c r="N21" s="2">
        <v>0.05</v>
      </c>
      <c r="O21" s="2">
        <v>1</v>
      </c>
      <c r="P21" s="2">
        <v>63</v>
      </c>
      <c r="Q21" s="2">
        <v>1</v>
      </c>
      <c r="R21" s="2">
        <v>57.5</v>
      </c>
      <c r="S21" s="2">
        <v>1</v>
      </c>
      <c r="T21" s="2">
        <v>0.8</v>
      </c>
      <c r="U21" s="2">
        <v>0.1</v>
      </c>
      <c r="V21" s="2">
        <v>0.1</v>
      </c>
      <c r="W21" s="2">
        <v>1</v>
      </c>
      <c r="X21" s="2">
        <v>5</v>
      </c>
      <c r="Y21" s="2">
        <v>-2.5</v>
      </c>
      <c r="Z21" s="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5626A-87A7-46E0-94CD-B982F087896E}">
  <dimension ref="A2:V12"/>
  <sheetViews>
    <sheetView topLeftCell="D1" workbookViewId="0">
      <selection activeCell="U3" sqref="U3"/>
    </sheetView>
  </sheetViews>
  <sheetFormatPr defaultRowHeight="14.5" x14ac:dyDescent="0.35"/>
  <sheetData>
    <row r="2" spans="1:22" x14ac:dyDescent="0.35">
      <c r="A2" t="s">
        <v>52</v>
      </c>
      <c r="B2" t="s">
        <v>1</v>
      </c>
      <c r="C2" t="s">
        <v>2</v>
      </c>
      <c r="D2" t="s">
        <v>3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50</v>
      </c>
      <c r="K2" t="s">
        <v>58</v>
      </c>
      <c r="L2" t="s">
        <v>59</v>
      </c>
      <c r="M2" t="s">
        <v>60</v>
      </c>
      <c r="N2" t="s">
        <v>61</v>
      </c>
      <c r="O2" t="s">
        <v>62</v>
      </c>
      <c r="P2" t="s">
        <v>63</v>
      </c>
      <c r="Q2" t="s">
        <v>64</v>
      </c>
      <c r="R2" t="s">
        <v>65</v>
      </c>
      <c r="S2" t="s">
        <v>66</v>
      </c>
      <c r="T2" t="s">
        <v>67</v>
      </c>
      <c r="U2" t="s">
        <v>68</v>
      </c>
      <c r="V2" t="s">
        <v>69</v>
      </c>
    </row>
    <row r="3" spans="1:22" x14ac:dyDescent="0.35">
      <c r="A3" s="1" t="s">
        <v>92</v>
      </c>
      <c r="B3" s="1">
        <v>0</v>
      </c>
      <c r="C3" s="1">
        <v>0</v>
      </c>
      <c r="D3" s="1">
        <v>1</v>
      </c>
      <c r="E3" s="1">
        <v>1</v>
      </c>
      <c r="F3" s="1">
        <v>60</v>
      </c>
      <c r="G3" s="1">
        <v>0.1</v>
      </c>
      <c r="H3" s="1">
        <v>1.1499999999999999</v>
      </c>
      <c r="I3" s="1">
        <v>1.3</v>
      </c>
      <c r="J3" s="1">
        <v>0.05</v>
      </c>
      <c r="K3" s="1">
        <v>1</v>
      </c>
      <c r="L3" s="1">
        <v>62.5</v>
      </c>
      <c r="M3" s="1">
        <v>0.1</v>
      </c>
      <c r="N3" s="1">
        <v>57</v>
      </c>
      <c r="O3" s="1">
        <v>1800</v>
      </c>
      <c r="P3" s="1">
        <v>0.9</v>
      </c>
      <c r="Q3" s="1">
        <v>0.1</v>
      </c>
      <c r="R3" s="1">
        <v>0.1</v>
      </c>
      <c r="S3" s="1">
        <v>1</v>
      </c>
      <c r="T3" s="1">
        <v>2.5</v>
      </c>
      <c r="U3" s="1">
        <v>-5</v>
      </c>
      <c r="V3" s="1">
        <v>0.1</v>
      </c>
    </row>
    <row r="4" spans="1:22" x14ac:dyDescent="0.35">
      <c r="A4" s="2" t="s">
        <v>93</v>
      </c>
      <c r="B4" s="2">
        <v>0</v>
      </c>
      <c r="C4" s="2">
        <v>0</v>
      </c>
      <c r="D4" s="2">
        <v>1</v>
      </c>
      <c r="E4" s="2">
        <v>1</v>
      </c>
      <c r="F4" s="2">
        <v>60</v>
      </c>
      <c r="G4" s="2">
        <v>0.1</v>
      </c>
      <c r="H4" s="2">
        <v>1.1499999999999999</v>
      </c>
      <c r="I4" s="2">
        <v>1.3</v>
      </c>
      <c r="J4" s="2">
        <v>0.05</v>
      </c>
      <c r="K4" s="2">
        <v>1</v>
      </c>
      <c r="L4" s="2">
        <v>62.5</v>
      </c>
      <c r="M4" s="2">
        <v>0.5</v>
      </c>
      <c r="N4" s="2">
        <v>57</v>
      </c>
      <c r="O4" s="2">
        <v>1800</v>
      </c>
      <c r="P4" s="2">
        <v>0.9</v>
      </c>
      <c r="Q4" s="2">
        <v>0.1</v>
      </c>
      <c r="R4" s="2">
        <v>0.1</v>
      </c>
      <c r="S4" s="2">
        <v>1</v>
      </c>
      <c r="T4" s="2">
        <v>2.5</v>
      </c>
      <c r="U4" s="2">
        <v>-5</v>
      </c>
      <c r="V4" s="2">
        <v>0.25</v>
      </c>
    </row>
    <row r="5" spans="1:22" x14ac:dyDescent="0.35">
      <c r="A5" s="1" t="s">
        <v>94</v>
      </c>
      <c r="B5" s="1">
        <v>0</v>
      </c>
      <c r="C5" s="1">
        <v>0</v>
      </c>
      <c r="D5" s="1">
        <v>1</v>
      </c>
      <c r="E5" s="1">
        <v>1</v>
      </c>
      <c r="F5" s="1">
        <v>60</v>
      </c>
      <c r="G5" s="1">
        <v>0.1</v>
      </c>
      <c r="H5" s="1">
        <v>1.1499999999999999</v>
      </c>
      <c r="I5" s="1">
        <v>1.3</v>
      </c>
      <c r="J5" s="1">
        <v>0.05</v>
      </c>
      <c r="K5" s="1">
        <v>1</v>
      </c>
      <c r="L5" s="1">
        <v>62.5</v>
      </c>
      <c r="M5" s="1">
        <v>1</v>
      </c>
      <c r="N5" s="1">
        <v>57</v>
      </c>
      <c r="O5" s="1">
        <v>1800</v>
      </c>
      <c r="P5" s="1">
        <v>0.9</v>
      </c>
      <c r="Q5" s="1">
        <v>0.1</v>
      </c>
      <c r="R5" s="1">
        <v>0.1</v>
      </c>
      <c r="S5" s="1">
        <v>1</v>
      </c>
      <c r="T5" s="1">
        <v>2.5</v>
      </c>
      <c r="U5" s="1">
        <v>-5</v>
      </c>
      <c r="V5" s="1">
        <v>0.5</v>
      </c>
    </row>
    <row r="6" spans="1:22" x14ac:dyDescent="0.35">
      <c r="A6" s="2" t="s">
        <v>95</v>
      </c>
      <c r="B6" s="1">
        <v>0</v>
      </c>
      <c r="C6" s="1">
        <v>0</v>
      </c>
      <c r="D6" s="1">
        <v>1</v>
      </c>
      <c r="E6" s="1">
        <v>1</v>
      </c>
      <c r="F6" s="1">
        <v>60</v>
      </c>
      <c r="G6" s="1">
        <v>0.1</v>
      </c>
      <c r="H6" s="1">
        <v>1.1499999999999999</v>
      </c>
      <c r="I6" s="1">
        <v>1.3</v>
      </c>
      <c r="J6" s="1">
        <v>0.05</v>
      </c>
      <c r="K6" s="1">
        <v>1</v>
      </c>
      <c r="L6" s="1">
        <v>62.5</v>
      </c>
      <c r="M6" s="1">
        <v>0.1</v>
      </c>
      <c r="N6" s="1">
        <v>57</v>
      </c>
      <c r="O6" s="1">
        <v>1800</v>
      </c>
      <c r="P6" s="1">
        <v>0.9</v>
      </c>
      <c r="Q6" s="1">
        <v>0.1</v>
      </c>
      <c r="R6" s="1">
        <v>0.1</v>
      </c>
      <c r="S6" s="1">
        <v>1</v>
      </c>
      <c r="T6" s="1">
        <v>2.5</v>
      </c>
      <c r="U6" s="1">
        <v>-5</v>
      </c>
      <c r="V6" s="1">
        <v>0.1</v>
      </c>
    </row>
    <row r="7" spans="1:22" x14ac:dyDescent="0.35">
      <c r="A7" s="1" t="s">
        <v>96</v>
      </c>
      <c r="B7" s="2">
        <v>0</v>
      </c>
      <c r="C7" s="2">
        <v>0</v>
      </c>
      <c r="D7" s="2">
        <v>1</v>
      </c>
      <c r="E7" s="2">
        <v>1</v>
      </c>
      <c r="F7" s="2">
        <v>60</v>
      </c>
      <c r="G7" s="2">
        <v>0.1</v>
      </c>
      <c r="H7" s="2">
        <v>1.1499999999999999</v>
      </c>
      <c r="I7" s="2">
        <v>1.3</v>
      </c>
      <c r="J7" s="2">
        <v>0.05</v>
      </c>
      <c r="K7" s="2">
        <v>1</v>
      </c>
      <c r="L7" s="2">
        <v>62.5</v>
      </c>
      <c r="M7" s="2">
        <v>0.5</v>
      </c>
      <c r="N7" s="2">
        <v>57</v>
      </c>
      <c r="O7" s="2">
        <v>1800</v>
      </c>
      <c r="P7" s="2">
        <v>0.9</v>
      </c>
      <c r="Q7" s="2">
        <v>0.1</v>
      </c>
      <c r="R7" s="2">
        <v>0.1</v>
      </c>
      <c r="S7" s="2">
        <v>1</v>
      </c>
      <c r="T7" s="2">
        <v>2.5</v>
      </c>
      <c r="U7" s="2">
        <v>-5</v>
      </c>
      <c r="V7" s="2">
        <v>0.25</v>
      </c>
    </row>
    <row r="8" spans="1:22" x14ac:dyDescent="0.35">
      <c r="A8" s="2" t="s">
        <v>97</v>
      </c>
      <c r="B8" s="1">
        <v>0</v>
      </c>
      <c r="C8" s="1">
        <v>0</v>
      </c>
      <c r="D8" s="1">
        <v>1</v>
      </c>
      <c r="E8" s="1">
        <v>1</v>
      </c>
      <c r="F8" s="1">
        <v>60</v>
      </c>
      <c r="G8" s="1">
        <v>0.1</v>
      </c>
      <c r="H8" s="1">
        <v>1.1499999999999999</v>
      </c>
      <c r="I8" s="1">
        <v>1.3</v>
      </c>
      <c r="J8" s="1">
        <v>0.05</v>
      </c>
      <c r="K8" s="1">
        <v>1</v>
      </c>
      <c r="L8" s="1">
        <v>62.5</v>
      </c>
      <c r="M8" s="1">
        <v>1</v>
      </c>
      <c r="N8" s="1">
        <v>57</v>
      </c>
      <c r="O8" s="1">
        <v>1800</v>
      </c>
      <c r="P8" s="1">
        <v>0.9</v>
      </c>
      <c r="Q8" s="1">
        <v>0.1</v>
      </c>
      <c r="R8" s="1">
        <v>0.1</v>
      </c>
      <c r="S8" s="1">
        <v>1</v>
      </c>
      <c r="T8" s="1">
        <v>2.5</v>
      </c>
      <c r="U8" s="1">
        <v>-5</v>
      </c>
      <c r="V8" s="1">
        <v>0.5</v>
      </c>
    </row>
    <row r="9" spans="1:22" x14ac:dyDescent="0.35">
      <c r="A9" s="1" t="s">
        <v>98</v>
      </c>
      <c r="B9" s="1">
        <v>0</v>
      </c>
      <c r="C9" s="1">
        <v>0</v>
      </c>
      <c r="D9" s="1">
        <v>1</v>
      </c>
      <c r="E9" s="1">
        <v>1</v>
      </c>
      <c r="F9" s="1">
        <v>60</v>
      </c>
      <c r="G9" s="1">
        <v>0.1</v>
      </c>
      <c r="H9" s="1">
        <v>1.1499999999999999</v>
      </c>
      <c r="I9" s="1">
        <v>1.3</v>
      </c>
      <c r="J9" s="1">
        <v>0.05</v>
      </c>
      <c r="K9" s="1">
        <v>1</v>
      </c>
      <c r="L9" s="1">
        <v>62.5</v>
      </c>
      <c r="M9" s="1">
        <v>0.1</v>
      </c>
      <c r="N9" s="1">
        <v>57</v>
      </c>
      <c r="O9" s="1">
        <v>1800</v>
      </c>
      <c r="P9" s="1">
        <v>0.9</v>
      </c>
      <c r="Q9" s="1">
        <v>0.1</v>
      </c>
      <c r="R9" s="1">
        <v>0.1</v>
      </c>
      <c r="S9" s="1">
        <v>1</v>
      </c>
      <c r="T9" s="1">
        <v>2.5</v>
      </c>
      <c r="U9" s="1">
        <v>-5</v>
      </c>
      <c r="V9" s="1">
        <v>0.1</v>
      </c>
    </row>
    <row r="10" spans="1:22" x14ac:dyDescent="0.35">
      <c r="A10" s="2" t="s">
        <v>99</v>
      </c>
      <c r="B10" s="2">
        <v>0</v>
      </c>
      <c r="C10" s="2">
        <v>0</v>
      </c>
      <c r="D10" s="2">
        <v>1</v>
      </c>
      <c r="E10" s="2">
        <v>1</v>
      </c>
      <c r="F10" s="2">
        <v>60</v>
      </c>
      <c r="G10" s="2">
        <v>0.1</v>
      </c>
      <c r="H10" s="2">
        <v>1.1499999999999999</v>
      </c>
      <c r="I10" s="2">
        <v>1.3</v>
      </c>
      <c r="J10" s="2">
        <v>0.05</v>
      </c>
      <c r="K10" s="2">
        <v>1</v>
      </c>
      <c r="L10" s="2">
        <v>62.5</v>
      </c>
      <c r="M10" s="2">
        <v>0.5</v>
      </c>
      <c r="N10" s="2">
        <v>57</v>
      </c>
      <c r="O10" s="2">
        <v>1800</v>
      </c>
      <c r="P10" s="2">
        <v>0.9</v>
      </c>
      <c r="Q10" s="2">
        <v>0.1</v>
      </c>
      <c r="R10" s="2">
        <v>0.1</v>
      </c>
      <c r="S10" s="2">
        <v>1</v>
      </c>
      <c r="T10" s="2">
        <v>2.5</v>
      </c>
      <c r="U10" s="2">
        <v>-5</v>
      </c>
      <c r="V10" s="2">
        <v>0.25</v>
      </c>
    </row>
    <row r="11" spans="1:22" x14ac:dyDescent="0.35">
      <c r="A11" s="1" t="s">
        <v>100</v>
      </c>
      <c r="B11" s="1">
        <v>0</v>
      </c>
      <c r="C11" s="1">
        <v>0</v>
      </c>
      <c r="D11" s="1">
        <v>1</v>
      </c>
      <c r="E11" s="1">
        <v>1</v>
      </c>
      <c r="F11" s="1">
        <v>60</v>
      </c>
      <c r="G11" s="1">
        <v>0.1</v>
      </c>
      <c r="H11" s="1">
        <v>1.1499999999999999</v>
      </c>
      <c r="I11" s="1">
        <v>1.3</v>
      </c>
      <c r="J11" s="1">
        <v>0.05</v>
      </c>
      <c r="K11" s="1">
        <v>1</v>
      </c>
      <c r="L11" s="1">
        <v>62.5</v>
      </c>
      <c r="M11" s="1">
        <v>1</v>
      </c>
      <c r="N11" s="1">
        <v>57</v>
      </c>
      <c r="O11" s="1">
        <v>1800</v>
      </c>
      <c r="P11" s="1">
        <v>0.9</v>
      </c>
      <c r="Q11" s="1">
        <v>0.1</v>
      </c>
      <c r="R11" s="1">
        <v>0.1</v>
      </c>
      <c r="S11" s="1">
        <v>1</v>
      </c>
      <c r="T11" s="1">
        <v>2.5</v>
      </c>
      <c r="U11" s="1">
        <v>-5</v>
      </c>
      <c r="V11" s="1">
        <v>0.5</v>
      </c>
    </row>
    <row r="12" spans="1:22" x14ac:dyDescent="0.35">
      <c r="A12" s="2" t="s">
        <v>101</v>
      </c>
      <c r="B12" s="1">
        <v>0</v>
      </c>
      <c r="C12" s="1">
        <v>0</v>
      </c>
      <c r="D12" s="1">
        <v>1</v>
      </c>
      <c r="E12" s="1">
        <v>1</v>
      </c>
      <c r="F12" s="1">
        <v>60</v>
      </c>
      <c r="G12" s="1">
        <v>0.1</v>
      </c>
      <c r="H12" s="1">
        <v>1.1499999999999999</v>
      </c>
      <c r="I12" s="1">
        <v>1.3</v>
      </c>
      <c r="J12" s="1">
        <v>0.05</v>
      </c>
      <c r="K12" s="1">
        <v>1</v>
      </c>
      <c r="L12" s="1">
        <v>62.5</v>
      </c>
      <c r="M12" s="1">
        <v>1</v>
      </c>
      <c r="N12" s="1">
        <v>57</v>
      </c>
      <c r="O12" s="1">
        <v>1800</v>
      </c>
      <c r="P12" s="1">
        <v>0.9</v>
      </c>
      <c r="Q12" s="1">
        <v>0.1</v>
      </c>
      <c r="R12" s="1">
        <v>0.1</v>
      </c>
      <c r="S12" s="1">
        <v>1</v>
      </c>
      <c r="T12" s="1">
        <v>2.5</v>
      </c>
      <c r="U12" s="1">
        <v>-5</v>
      </c>
      <c r="V12" s="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Lines</vt:lpstr>
      <vt:lpstr>Trafos</vt:lpstr>
      <vt:lpstr>Loads</vt:lpstr>
      <vt:lpstr>SynchGens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Canales Verdial</dc:creator>
  <cp:lastModifiedBy>Fernando Canales Verdial</cp:lastModifiedBy>
  <dcterms:created xsi:type="dcterms:W3CDTF">2025-08-21T09:53:08Z</dcterms:created>
  <dcterms:modified xsi:type="dcterms:W3CDTF">2026-03-19T21:48:08Z</dcterms:modified>
</cp:coreProperties>
</file>